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8140837d43bc7bc/デスクトップ/"/>
    </mc:Choice>
  </mc:AlternateContent>
  <xr:revisionPtr revIDLastSave="0" documentId="8_{A17DEAB7-BB56-4916-8787-4A7F42D64834}" xr6:coauthVersionLast="47" xr6:coauthVersionMax="47" xr10:uidLastSave="{00000000-0000-0000-0000-000000000000}"/>
  <bookViews>
    <workbookView xWindow="-108" yWindow="-108" windowWidth="23256" windowHeight="12456" xr2:uid="{B62373C8-9A44-4C53-9563-204DBC488EBD}"/>
  </bookViews>
  <sheets>
    <sheet name="請求データ" sheetId="2" r:id="rId1"/>
    <sheet name="請求書ひながた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1" l="1"/>
  <c r="K24" i="1" s="1"/>
  <c r="H23" i="1" l="1"/>
  <c r="K23" i="1" s="1"/>
  <c r="K25" i="1" s="1"/>
  <c r="H25" i="1" l="1"/>
  <c r="K26" i="1" s="1"/>
  <c r="K27" i="1" s="1"/>
  <c r="F8" i="1" s="1"/>
</calcChain>
</file>

<file path=xl/sharedStrings.xml><?xml version="1.0" encoding="utf-8"?>
<sst xmlns="http://schemas.openxmlformats.org/spreadsheetml/2006/main" count="63" uniqueCount="59">
  <si>
    <t>請 求 書</t>
    <phoneticPr fontId="3"/>
  </si>
  <si>
    <t xml:space="preserve">登録番号 </t>
    <phoneticPr fontId="3"/>
  </si>
  <si>
    <t xml:space="preserve">請求書No </t>
    <phoneticPr fontId="3"/>
  </si>
  <si>
    <t xml:space="preserve">請求日 </t>
    <phoneticPr fontId="3"/>
  </si>
  <si>
    <t>下記をご請求申し上げます。</t>
  </si>
  <si>
    <t>ご請求額：</t>
    <rPh sb="3" eb="4">
      <t>ガク</t>
    </rPh>
    <rPh sb="4" eb="5">
      <t>ガク</t>
    </rPh>
    <phoneticPr fontId="3"/>
  </si>
  <si>
    <t>お支払い期限</t>
    <phoneticPr fontId="3"/>
  </si>
  <si>
    <t>品目</t>
    <rPh sb="0" eb="1">
      <t>ヒンメイ</t>
    </rPh>
    <rPh sb="1" eb="2">
      <t xml:space="preserve">モク </t>
    </rPh>
    <phoneticPr fontId="3"/>
  </si>
  <si>
    <t>軽減税率対象</t>
    <rPh sb="0" eb="2">
      <t>ケイゲn</t>
    </rPh>
    <rPh sb="2" eb="3">
      <t>ケイケn</t>
    </rPh>
    <rPh sb="3" eb="5">
      <t>タイショウ</t>
    </rPh>
    <phoneticPr fontId="3"/>
  </si>
  <si>
    <t>単価</t>
    <rPh sb="0" eb="2">
      <t>タンカ</t>
    </rPh>
    <phoneticPr fontId="3"/>
  </si>
  <si>
    <t>数量</t>
    <rPh sb="0" eb="2">
      <t>スウ</t>
    </rPh>
    <phoneticPr fontId="3"/>
  </si>
  <si>
    <t>金額</t>
    <rPh sb="0" eb="2">
      <t>キn</t>
    </rPh>
    <phoneticPr fontId="3"/>
  </si>
  <si>
    <t>「※」は軽減税率対象であることを示します。</t>
    <phoneticPr fontId="3"/>
  </si>
  <si>
    <t>10%対象</t>
    <rPh sb="3" eb="5">
      <t>タイセィオ</t>
    </rPh>
    <phoneticPr fontId="3"/>
  </si>
  <si>
    <t>対象額</t>
    <rPh sb="0" eb="2">
      <t>タイショウ</t>
    </rPh>
    <rPh sb="2" eb="3">
      <t>ガク</t>
    </rPh>
    <phoneticPr fontId="3"/>
  </si>
  <si>
    <t>消費税</t>
  </si>
  <si>
    <t>8%対象（※）</t>
    <rPh sb="2" eb="4">
      <t>タイセィオ</t>
    </rPh>
    <phoneticPr fontId="3"/>
  </si>
  <si>
    <t>小計</t>
    <rPh sb="0" eb="2">
      <t xml:space="preserve">ショウケイ </t>
    </rPh>
    <phoneticPr fontId="3"/>
  </si>
  <si>
    <t>源泉徴収税額</t>
    <rPh sb="0" eb="4">
      <t>ゲンセンチョウシュウ</t>
    </rPh>
    <rPh sb="4" eb="5">
      <t xml:space="preserve">ゼイ </t>
    </rPh>
    <rPh sb="5" eb="6">
      <t xml:space="preserve">ガク </t>
    </rPh>
    <phoneticPr fontId="9"/>
  </si>
  <si>
    <t>合計</t>
    <rPh sb="0" eb="2">
      <t>ゴウケイ</t>
    </rPh>
    <phoneticPr fontId="9"/>
  </si>
  <si>
    <t>振込先</t>
    <rPh sb="0" eb="3">
      <t>フリコミ</t>
    </rPh>
    <phoneticPr fontId="3"/>
  </si>
  <si>
    <t>備考欄</t>
    <rPh sb="0" eb="3">
      <t>ビコウ</t>
    </rPh>
    <phoneticPr fontId="3"/>
  </si>
  <si>
    <t>口座種：〇〇〇〇</t>
    <phoneticPr fontId="3"/>
  </si>
  <si>
    <t>口座番号：〇〇〇〇</t>
    <phoneticPr fontId="3"/>
  </si>
  <si>
    <t>口座名義：〇〇〇〇</t>
    <phoneticPr fontId="3"/>
  </si>
  <si>
    <t>西日本シティ銀行〇〇〇〇支店</t>
    <rPh sb="0" eb="1">
      <t>ニシ</t>
    </rPh>
    <rPh sb="1" eb="3">
      <t>ニホン</t>
    </rPh>
    <rPh sb="12" eb="14">
      <t>シテン</t>
    </rPh>
    <phoneticPr fontId="3"/>
  </si>
  <si>
    <t>有限会社　〇〇〇〇</t>
    <rPh sb="0" eb="2">
      <t>ユウゲン</t>
    </rPh>
    <rPh sb="2" eb="4">
      <t>カイシャ</t>
    </rPh>
    <phoneticPr fontId="9"/>
  </si>
  <si>
    <t>〇〇〇〇</t>
    <phoneticPr fontId="3"/>
  </si>
  <si>
    <t>TEL：〇〇〇〇-〇〇〇〇-〇〇〇〇</t>
    <phoneticPr fontId="9"/>
  </si>
  <si>
    <t>〒〇〇-〇〇</t>
    <phoneticPr fontId="9"/>
  </si>
  <si>
    <t>福岡県那珂川市〇〇〇〇</t>
    <rPh sb="0" eb="3">
      <t>フクオカケン</t>
    </rPh>
    <rPh sb="3" eb="6">
      <t>ナカガワ</t>
    </rPh>
    <rPh sb="6" eb="7">
      <t>シ</t>
    </rPh>
    <phoneticPr fontId="3"/>
  </si>
  <si>
    <t>2024/〇〇/〇〇</t>
    <phoneticPr fontId="3"/>
  </si>
  <si>
    <t>株式会社〇〇〇〇　御中</t>
    <phoneticPr fontId="9"/>
  </si>
  <si>
    <t>〒〇〇〇-〇〇〇〇</t>
    <phoneticPr fontId="9"/>
  </si>
  <si>
    <t>作業名</t>
    <rPh sb="0" eb="2">
      <t>サギョウ</t>
    </rPh>
    <rPh sb="2" eb="3">
      <t>メイ</t>
    </rPh>
    <phoneticPr fontId="3"/>
  </si>
  <si>
    <t>数量</t>
    <rPh sb="0" eb="2">
      <t>スウリョウ</t>
    </rPh>
    <phoneticPr fontId="3"/>
  </si>
  <si>
    <t>モールテックス施工</t>
  </si>
  <si>
    <r>
      <t>内部壁左官補修</t>
    </r>
    <r>
      <rPr>
        <sz val="11"/>
        <color theme="1"/>
        <rFont val="Arial"/>
        <family val="2"/>
      </rPr>
      <t>40</t>
    </r>
    <r>
      <rPr>
        <sz val="11"/>
        <color theme="1"/>
        <rFont val="ＭＳ Ｐゴシック"/>
        <family val="3"/>
        <charset val="128"/>
      </rPr>
      <t>㎡</t>
    </r>
  </si>
  <si>
    <t>スクラッチ塗り付け</t>
  </si>
  <si>
    <r>
      <t>モルタル工事 厚み</t>
    </r>
    <r>
      <rPr>
        <sz val="11"/>
        <color theme="1"/>
        <rFont val="Arial"/>
        <family val="2"/>
      </rPr>
      <t>40mm</t>
    </r>
  </si>
  <si>
    <r>
      <t>モルタル工事 </t>
    </r>
    <r>
      <rPr>
        <sz val="11"/>
        <color theme="1"/>
        <rFont val="Arial"/>
        <family val="2"/>
      </rPr>
      <t>100</t>
    </r>
    <r>
      <rPr>
        <sz val="11"/>
        <color theme="1"/>
        <rFont val="ＭＳ Ｐゴシック"/>
        <family val="3"/>
        <charset val="128"/>
      </rPr>
      <t>㎡</t>
    </r>
  </si>
  <si>
    <t>モールテックス施工(天板)</t>
  </si>
  <si>
    <t>ジョリパッド施工</t>
  </si>
  <si>
    <t>カチオン薄塗（カウンター他）</t>
  </si>
  <si>
    <t>ジョリパット施工（壁、校倉仕上げ）</t>
  </si>
  <si>
    <t>ジョリパッド施工（壁、腰壁、床、合計77㎡細流仕上）</t>
    <phoneticPr fontId="3"/>
  </si>
  <si>
    <t>内装左官仕上げ</t>
    <phoneticPr fontId="3"/>
  </si>
  <si>
    <t>防水下地</t>
  </si>
  <si>
    <t>モールテックス施工（壁面30㎡）</t>
  </si>
  <si>
    <t>モルタル色合わせ施工（外壁面補修）</t>
  </si>
  <si>
    <t>モールテックス施工（壁、カウンター）</t>
  </si>
  <si>
    <t>タイル</t>
    <phoneticPr fontId="3"/>
  </si>
  <si>
    <t>タイル貼り（床、壁）</t>
  </si>
  <si>
    <r>
      <t>珪藻土左官仕上げ（</t>
    </r>
    <r>
      <rPr>
        <sz val="11"/>
        <color theme="1"/>
        <rFont val="Arial"/>
        <family val="2"/>
      </rPr>
      <t>12.6</t>
    </r>
    <r>
      <rPr>
        <sz val="11"/>
        <color theme="1"/>
        <rFont val="ＭＳ Ｐゴシック"/>
        <family val="3"/>
        <charset val="128"/>
      </rPr>
      <t>㎡）</t>
    </r>
  </si>
  <si>
    <t>エコカラット</t>
  </si>
  <si>
    <r>
      <t>漆喰</t>
    </r>
    <r>
      <rPr>
        <sz val="11"/>
        <color theme="1"/>
        <rFont val="Arial"/>
        <family val="2"/>
      </rPr>
      <t>70</t>
    </r>
    <r>
      <rPr>
        <sz val="11"/>
        <color theme="1"/>
        <rFont val="ＭＳ Ｐゴシック"/>
        <family val="3"/>
        <charset val="128"/>
      </rPr>
      <t>㎡</t>
    </r>
    <phoneticPr fontId="3"/>
  </si>
  <si>
    <r>
      <t>モールテックス施工</t>
    </r>
    <r>
      <rPr>
        <sz val="11"/>
        <color theme="1"/>
        <rFont val="ＭＳ Ｐゴシック"/>
        <family val="2"/>
        <charset val="128"/>
      </rPr>
      <t>(</t>
    </r>
    <r>
      <rPr>
        <sz val="11"/>
        <color theme="1"/>
        <rFont val="ＭＳ Ｐゴシック"/>
        <family val="3"/>
        <charset val="128"/>
      </rPr>
      <t>エントランス</t>
    </r>
    <r>
      <rPr>
        <sz val="11"/>
        <color theme="1"/>
        <rFont val="ＭＳ Ｐゴシック"/>
        <family val="2"/>
        <charset val="128"/>
      </rPr>
      <t>)</t>
    </r>
    <phoneticPr fontId="3"/>
  </si>
  <si>
    <t>モールテックス施工(エントランス)</t>
  </si>
  <si>
    <t>No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</si>
</sst>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&quot;¥&quot;#,##0\-_ ;&quot;¥&quot;\-#,##0\-_ ;_ &quot;¥&quot;* &quot;-&quot;_ ;_ @_ "/>
    <numFmt numFmtId="177" formatCode="[$¥-411]#,##0;[$¥-411]#,##0"/>
    <numFmt numFmtId="178" formatCode="&quot;¥&quot;#,##0_);[Red]\(&quot;¥&quot;#,##0\)"/>
  </numFmts>
  <fonts count="30">
    <font>
      <sz val="11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Hg明朝e"/>
      <family val="1"/>
      <charset val="128"/>
    </font>
    <font>
      <sz val="6"/>
      <name val="ＭＳ Ｐゴシック"/>
      <family val="3"/>
      <charset val="128"/>
    </font>
    <font>
      <b/>
      <sz val="20"/>
      <color theme="1"/>
      <name val="BIZ UDGothic"/>
      <family val="3"/>
      <charset val="128"/>
    </font>
    <font>
      <b/>
      <sz val="11"/>
      <color theme="1"/>
      <name val="BIZ UDGothic"/>
      <family val="3"/>
      <charset val="128"/>
    </font>
    <font>
      <b/>
      <sz val="24"/>
      <color theme="1"/>
      <name val="BIZ UDGothic"/>
      <family val="3"/>
      <charset val="128"/>
    </font>
    <font>
      <sz val="24"/>
      <color theme="1"/>
      <name val="Hg明朝e"/>
      <family val="1"/>
      <charset val="128"/>
    </font>
    <font>
      <b/>
      <sz val="12"/>
      <color theme="1"/>
      <name val="BIZ UDGothic"/>
      <family val="3"/>
      <charset val="128"/>
    </font>
    <font>
      <sz val="6"/>
      <name val="02UtsukushiMincho"/>
      <family val="3"/>
      <charset val="128"/>
    </font>
    <font>
      <b/>
      <sz val="12"/>
      <name val="BIZ UDGothic"/>
      <family val="3"/>
      <charset val="128"/>
    </font>
    <font>
      <sz val="11"/>
      <color theme="1"/>
      <name val="BIZ UDGothic"/>
      <family val="3"/>
      <charset val="128"/>
    </font>
    <font>
      <sz val="9"/>
      <color theme="1"/>
      <name val="BIZ UDGothic"/>
      <family val="3"/>
      <charset val="128"/>
    </font>
    <font>
      <sz val="10"/>
      <color theme="1"/>
      <name val="BIZ UDGothic"/>
      <family val="3"/>
      <charset val="128"/>
    </font>
    <font>
      <sz val="8"/>
      <color theme="1"/>
      <name val="BIZ UDGothic"/>
      <family val="3"/>
      <charset val="128"/>
    </font>
    <font>
      <b/>
      <sz val="10"/>
      <color theme="1"/>
      <name val="BIZ UDGothic"/>
      <family val="3"/>
      <charset val="128"/>
    </font>
    <font>
      <sz val="9.5"/>
      <color theme="1"/>
      <name val="Arial"/>
      <family val="2"/>
    </font>
    <font>
      <sz val="10"/>
      <color theme="1"/>
      <name val="Arial"/>
      <family val="2"/>
    </font>
    <font>
      <sz val="14"/>
      <color theme="1"/>
      <name val="BIZ UDGothic"/>
      <family val="3"/>
      <charset val="128"/>
    </font>
    <font>
      <sz val="10.5"/>
      <color theme="1"/>
      <name val="Arial"/>
      <family val="2"/>
    </font>
    <font>
      <sz val="10.5"/>
      <color theme="1"/>
      <name val="BIZ UDGothic"/>
      <family val="3"/>
      <charset val="128"/>
    </font>
    <font>
      <sz val="10"/>
      <name val="BIZ UDGothic"/>
      <family val="3"/>
      <charset val="128"/>
    </font>
    <font>
      <sz val="18"/>
      <color theme="1"/>
      <name val="BIZ UDGothic"/>
      <family val="3"/>
      <charset val="128"/>
    </font>
    <font>
      <b/>
      <sz val="9"/>
      <color theme="1"/>
      <name val="BIZ UDGothic"/>
      <family val="3"/>
      <charset val="128"/>
    </font>
    <font>
      <sz val="18"/>
      <color theme="1"/>
      <name val="HG明朝E"/>
      <family val="1"/>
      <charset val="128"/>
    </font>
    <font>
      <sz val="16"/>
      <color theme="1"/>
      <name val="HG明朝E"/>
      <family val="1"/>
      <charset val="128"/>
    </font>
    <font>
      <sz val="11"/>
      <color theme="1"/>
      <name val="HG明朝E"/>
      <family val="1"/>
      <charset val="128"/>
    </font>
    <font>
      <sz val="12"/>
      <color theme="1"/>
      <name val="HG明朝E"/>
      <family val="1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rgb="FFF2F2F2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tted">
        <color theme="1" tint="0.499984740745262"/>
      </bottom>
      <diagonal/>
    </border>
    <border>
      <left/>
      <right/>
      <top style="medium">
        <color indexed="64"/>
      </top>
      <bottom style="dotted">
        <color theme="1" tint="0.499984740745262"/>
      </bottom>
      <diagonal/>
    </border>
    <border>
      <left/>
      <right/>
      <top style="dotted">
        <color theme="1" tint="0.499984740745262"/>
      </top>
      <bottom style="medium">
        <color indexed="64"/>
      </bottom>
      <diagonal/>
    </border>
    <border>
      <left/>
      <right/>
      <top style="dotted">
        <color theme="1" tint="0.499984740745262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115">
    <xf numFmtId="0" fontId="0" fillId="0" borderId="0" xfId="0"/>
    <xf numFmtId="0" fontId="2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1" fillId="0" borderId="0" xfId="0" applyFont="1"/>
    <xf numFmtId="0" fontId="12" fillId="0" borderId="0" xfId="0" applyFont="1" applyAlignment="1">
      <alignment horizontal="right"/>
    </xf>
    <xf numFmtId="31" fontId="12" fillId="0" borderId="1" xfId="0" applyNumberFormat="1" applyFont="1" applyBorder="1" applyAlignment="1">
      <alignment horizontal="center" vertical="center"/>
    </xf>
    <xf numFmtId="3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3" fillId="0" borderId="0" xfId="0" applyFont="1"/>
    <xf numFmtId="49" fontId="12" fillId="0" borderId="1" xfId="0" applyNumberFormat="1" applyFont="1" applyBorder="1" applyAlignment="1">
      <alignment vertical="center"/>
    </xf>
    <xf numFmtId="49" fontId="12" fillId="0" borderId="0" xfId="0" applyNumberFormat="1" applyFont="1" applyAlignment="1">
      <alignment vertical="center"/>
    </xf>
    <xf numFmtId="0" fontId="12" fillId="0" borderId="0" xfId="0" applyFont="1" applyAlignment="1">
      <alignment horizontal="left" vertical="top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right"/>
    </xf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1" fontId="11" fillId="0" borderId="0" xfId="0" applyNumberFormat="1" applyFont="1" applyAlignment="1">
      <alignment horizontal="center"/>
    </xf>
    <xf numFmtId="0" fontId="5" fillId="0" borderId="2" xfId="0" applyFont="1" applyBorder="1" applyAlignment="1">
      <alignment vertical="center"/>
    </xf>
    <xf numFmtId="0" fontId="8" fillId="0" borderId="2" xfId="0" applyFont="1" applyBorder="1" applyAlignment="1">
      <alignment vertical="center"/>
    </xf>
    <xf numFmtId="176" fontId="8" fillId="0" borderId="2" xfId="0" applyNumberFormat="1" applyFont="1" applyBorder="1" applyAlignment="1">
      <alignment horizontal="right" vertical="center"/>
    </xf>
    <xf numFmtId="49" fontId="11" fillId="0" borderId="0" xfId="0" applyNumberFormat="1" applyFont="1" applyAlignment="1">
      <alignment vertical="center"/>
    </xf>
    <xf numFmtId="0" fontId="14" fillId="0" borderId="0" xfId="0" applyFont="1"/>
    <xf numFmtId="0" fontId="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2" fillId="0" borderId="0" xfId="0" applyFont="1"/>
    <xf numFmtId="14" fontId="17" fillId="0" borderId="3" xfId="0" applyNumberFormat="1" applyFont="1" applyBorder="1" applyAlignment="1">
      <alignment horizontal="left" vertical="center"/>
    </xf>
    <xf numFmtId="6" fontId="13" fillId="0" borderId="0" xfId="1" applyFont="1" applyBorder="1" applyAlignment="1">
      <alignment vertical="center"/>
    </xf>
    <xf numFmtId="0" fontId="18" fillId="0" borderId="0" xfId="0" applyFont="1"/>
    <xf numFmtId="14" fontId="17" fillId="0" borderId="4" xfId="0" applyNumberFormat="1" applyFont="1" applyBorder="1" applyAlignment="1">
      <alignment horizontal="left" vertical="center"/>
    </xf>
    <xf numFmtId="0" fontId="13" fillId="0" borderId="5" xfId="0" applyFont="1" applyBorder="1" applyAlignment="1">
      <alignment horizontal="center" vertical="center"/>
    </xf>
    <xf numFmtId="14" fontId="19" fillId="0" borderId="7" xfId="0" applyNumberFormat="1" applyFont="1" applyBorder="1" applyAlignment="1">
      <alignment horizontal="left"/>
    </xf>
    <xf numFmtId="0" fontId="19" fillId="0" borderId="7" xfId="0" applyFont="1" applyBorder="1" applyAlignment="1">
      <alignment horizontal="center"/>
    </xf>
    <xf numFmtId="0" fontId="20" fillId="0" borderId="7" xfId="0" applyFont="1" applyBorder="1" applyAlignment="1">
      <alignment horizontal="center"/>
    </xf>
    <xf numFmtId="177" fontId="20" fillId="0" borderId="7" xfId="0" applyNumberFormat="1" applyFont="1" applyBorder="1"/>
    <xf numFmtId="177" fontId="20" fillId="0" borderId="0" xfId="0" applyNumberFormat="1" applyFont="1"/>
    <xf numFmtId="0" fontId="20" fillId="0" borderId="0" xfId="0" applyFont="1"/>
    <xf numFmtId="6" fontId="20" fillId="0" borderId="0" xfId="1" applyFont="1" applyBorder="1" applyAlignment="1"/>
    <xf numFmtId="0" fontId="14" fillId="0" borderId="0" xfId="0" applyFont="1" applyAlignment="1">
      <alignment horizontal="left" wrapText="1"/>
    </xf>
    <xf numFmtId="0" fontId="14" fillId="0" borderId="0" xfId="0" applyFont="1" applyAlignment="1">
      <alignment horizontal="left" vertical="top" wrapText="1"/>
    </xf>
    <xf numFmtId="0" fontId="13" fillId="0" borderId="8" xfId="0" applyFont="1" applyBorder="1" applyAlignment="1">
      <alignment vertical="center"/>
    </xf>
    <xf numFmtId="178" fontId="13" fillId="0" borderId="8" xfId="0" applyNumberFormat="1" applyFont="1" applyBorder="1" applyAlignment="1">
      <alignment horizontal="right" vertical="top"/>
    </xf>
    <xf numFmtId="178" fontId="13" fillId="0" borderId="0" xfId="0" applyNumberFormat="1" applyFont="1" applyAlignment="1">
      <alignment horizontal="right" vertical="top"/>
    </xf>
    <xf numFmtId="9" fontId="13" fillId="0" borderId="8" xfId="0" applyNumberFormat="1" applyFont="1" applyBorder="1" applyAlignment="1">
      <alignment vertical="center"/>
    </xf>
    <xf numFmtId="178" fontId="13" fillId="0" borderId="8" xfId="0" applyNumberFormat="1" applyFont="1" applyBorder="1" applyAlignment="1">
      <alignment vertical="top"/>
    </xf>
    <xf numFmtId="178" fontId="13" fillId="0" borderId="0" xfId="0" applyNumberFormat="1" applyFont="1" applyAlignment="1">
      <alignment vertical="top"/>
    </xf>
    <xf numFmtId="0" fontId="14" fillId="0" borderId="0" xfId="0" applyFont="1" applyAlignment="1">
      <alignment horizontal="left" vertical="center" wrapText="1"/>
    </xf>
    <xf numFmtId="0" fontId="13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178" fontId="13" fillId="2" borderId="2" xfId="0" applyNumberFormat="1" applyFont="1" applyFill="1" applyBorder="1" applyAlignment="1">
      <alignment horizontal="right" vertical="center"/>
    </xf>
    <xf numFmtId="178" fontId="13" fillId="2" borderId="2" xfId="0" applyNumberFormat="1" applyFont="1" applyFill="1" applyBorder="1" applyAlignment="1">
      <alignment vertical="center"/>
    </xf>
    <xf numFmtId="178" fontId="13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0" fontId="14" fillId="0" borderId="0" xfId="0" applyFont="1" applyAlignment="1">
      <alignment vertical="center" wrapText="1"/>
    </xf>
    <xf numFmtId="0" fontId="15" fillId="0" borderId="9" xfId="0" applyFont="1" applyBorder="1" applyAlignment="1">
      <alignment vertical="center"/>
    </xf>
    <xf numFmtId="0" fontId="15" fillId="0" borderId="9" xfId="0" applyFont="1" applyBorder="1" applyAlignment="1">
      <alignment horizontal="center" vertical="center"/>
    </xf>
    <xf numFmtId="178" fontId="15" fillId="0" borderId="9" xfId="0" applyNumberFormat="1" applyFont="1" applyBorder="1" applyAlignment="1">
      <alignment horizontal="right" vertical="center"/>
    </xf>
    <xf numFmtId="178" fontId="15" fillId="0" borderId="9" xfId="0" applyNumberFormat="1" applyFont="1" applyBorder="1" applyAlignment="1">
      <alignment vertical="center"/>
    </xf>
    <xf numFmtId="178" fontId="15" fillId="0" borderId="0" xfId="0" applyNumberFormat="1" applyFont="1" applyAlignment="1">
      <alignment vertical="center"/>
    </xf>
    <xf numFmtId="0" fontId="13" fillId="0" borderId="10" xfId="0" applyFont="1" applyBorder="1" applyAlignment="1">
      <alignment horizontal="left" vertical="center"/>
    </xf>
    <xf numFmtId="178" fontId="13" fillId="0" borderId="2" xfId="0" applyNumberFormat="1" applyFont="1" applyBorder="1" applyAlignment="1">
      <alignment horizontal="right" vertical="center"/>
    </xf>
    <xf numFmtId="0" fontId="13" fillId="0" borderId="2" xfId="0" applyFont="1" applyBorder="1" applyAlignment="1">
      <alignment vertical="center"/>
    </xf>
    <xf numFmtId="178" fontId="13" fillId="0" borderId="2" xfId="0" applyNumberFormat="1" applyFont="1" applyBorder="1" applyAlignment="1">
      <alignment vertical="center"/>
    </xf>
    <xf numFmtId="0" fontId="14" fillId="0" borderId="0" xfId="0" applyFont="1" applyAlignment="1">
      <alignment vertical="top" wrapText="1"/>
    </xf>
    <xf numFmtId="0" fontId="15" fillId="0" borderId="11" xfId="0" applyFont="1" applyBorder="1" applyAlignment="1">
      <alignment horizontal="left" vertical="center"/>
    </xf>
    <xf numFmtId="178" fontId="15" fillId="0" borderId="0" xfId="0" applyNumberFormat="1" applyFont="1" applyAlignment="1">
      <alignment horizontal="right" vertical="center"/>
    </xf>
    <xf numFmtId="0" fontId="15" fillId="0" borderId="0" xfId="0" applyFont="1"/>
    <xf numFmtId="0" fontId="22" fillId="0" borderId="0" xfId="0" applyFont="1" applyAlignment="1">
      <alignment vertical="center"/>
    </xf>
    <xf numFmtId="49" fontId="15" fillId="0" borderId="0" xfId="0" applyNumberFormat="1" applyFont="1" applyAlignment="1">
      <alignment horizontal="left"/>
    </xf>
    <xf numFmtId="49" fontId="12" fillId="0" borderId="0" xfId="0" applyNumberFormat="1" applyFont="1" applyAlignment="1">
      <alignment horizontal="left"/>
    </xf>
    <xf numFmtId="49" fontId="12" fillId="0" borderId="0" xfId="0" applyNumberFormat="1" applyFont="1" applyAlignment="1">
      <alignment horizontal="left" vertical="center"/>
    </xf>
    <xf numFmtId="0" fontId="12" fillId="3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0" fontId="15" fillId="2" borderId="0" xfId="0" applyFont="1" applyFill="1" applyAlignment="1">
      <alignment horizontal="center" vertical="center"/>
    </xf>
    <xf numFmtId="14" fontId="1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0" fillId="3" borderId="0" xfId="0" applyFill="1" applyAlignment="1">
      <alignment vertical="center"/>
    </xf>
    <xf numFmtId="0" fontId="12" fillId="2" borderId="12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Fill="1" applyAlignment="1">
      <alignment vertical="center"/>
    </xf>
    <xf numFmtId="0" fontId="12" fillId="4" borderId="0" xfId="0" applyFont="1" applyFill="1" applyAlignment="1">
      <alignment horizontal="left"/>
    </xf>
    <xf numFmtId="0" fontId="0" fillId="2" borderId="0" xfId="0" applyFill="1"/>
    <xf numFmtId="0" fontId="12" fillId="3" borderId="0" xfId="0" applyFont="1" applyFill="1"/>
    <xf numFmtId="0" fontId="12" fillId="2" borderId="0" xfId="0" applyFont="1" applyFill="1"/>
    <xf numFmtId="0" fontId="23" fillId="0" borderId="0" xfId="0" applyFont="1" applyAlignment="1">
      <alignment vertical="center"/>
    </xf>
    <xf numFmtId="0" fontId="12" fillId="5" borderId="0" xfId="0" applyFont="1" applyFill="1" applyAlignment="1">
      <alignment vertical="center"/>
    </xf>
    <xf numFmtId="0" fontId="12" fillId="0" borderId="1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9" fillId="0" borderId="0" xfId="0" applyFont="1"/>
    <xf numFmtId="0" fontId="28" fillId="0" borderId="0" xfId="0" applyFont="1"/>
    <xf numFmtId="0" fontId="13" fillId="0" borderId="14" xfId="0" applyFont="1" applyBorder="1" applyAlignment="1">
      <alignment horizontal="center" vertical="center"/>
    </xf>
    <xf numFmtId="177" fontId="13" fillId="0" borderId="14" xfId="0" applyNumberFormat="1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6" fontId="13" fillId="0" borderId="14" xfId="1" applyFont="1" applyBorder="1" applyAlignment="1">
      <alignment vertical="center"/>
    </xf>
    <xf numFmtId="0" fontId="5" fillId="0" borderId="2" xfId="0" applyFont="1" applyBorder="1" applyAlignment="1">
      <alignment horizontal="left" vertical="center" indent="1"/>
    </xf>
    <xf numFmtId="0" fontId="16" fillId="0" borderId="3" xfId="0" applyNumberFormat="1" applyFont="1" applyBorder="1" applyAlignment="1">
      <alignment horizontal="left" vertical="center" indent="1"/>
    </xf>
  </cellXfs>
  <cellStyles count="2">
    <cellStyle name="通貨" xfId="1" builtinId="7"/>
    <cellStyle name="標準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family val="2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2</xdr:row>
          <xdr:rowOff>15240</xdr:rowOff>
        </xdr:from>
        <xdr:to>
          <xdr:col>7</xdr:col>
          <xdr:colOff>243840</xdr:colOff>
          <xdr:row>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請求書反映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337930</xdr:colOff>
          <xdr:row>7</xdr:row>
          <xdr:rowOff>15240</xdr:rowOff>
        </xdr:from>
        <xdr:to>
          <xdr:col>7</xdr:col>
          <xdr:colOff>281940</xdr:colOff>
          <xdr:row>10</xdr:row>
          <xdr:rowOff>6626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※リセット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DD6534-7430-4E04-AA5A-9F3B114C7CE1}" name="テーブル1" displayName="テーブル1" ref="B2:D23" totalsRowShown="0" headerRowDxfId="0">
  <autoFilter ref="B2:D23" xr:uid="{3CDD6534-7430-4E04-AA5A-9F3B114C7CE1}"/>
  <tableColumns count="3">
    <tableColumn id="1" xr3:uid="{666B8349-F1D6-4FD1-8246-1D58F4C9DD24}" name="作業名" dataDxfId="1"/>
    <tableColumn id="2" xr3:uid="{2972F41C-990B-4C26-95FA-91F05AFEC81D}" name="単価"/>
    <tableColumn id="3" xr3:uid="{4CDD2A2E-2330-4CC2-8E98-A2888B7453AF}" name="数量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ビュー">
  <a:themeElements>
    <a:clrScheme name="ペーパー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ビュー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ビュー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28F43-340A-413E-A1A2-CB1C0EB6B8E2}">
  <sheetPr codeName="Sheet2"/>
  <dimension ref="B2:D23"/>
  <sheetViews>
    <sheetView tabSelected="1" zoomScale="115" zoomScaleNormal="115" workbookViewId="0">
      <selection activeCell="D9" sqref="D9"/>
    </sheetView>
  </sheetViews>
  <sheetFormatPr defaultRowHeight="13.8"/>
  <cols>
    <col min="1" max="1" width="6.19921875" customWidth="1"/>
    <col min="2" max="2" width="44.09765625" customWidth="1"/>
  </cols>
  <sheetData>
    <row r="2" spans="2:4">
      <c r="B2" s="106" t="s">
        <v>34</v>
      </c>
      <c r="C2" s="106" t="s">
        <v>9</v>
      </c>
      <c r="D2" s="106" t="s">
        <v>35</v>
      </c>
    </row>
    <row r="3" spans="2:4">
      <c r="B3" s="107" t="s">
        <v>36</v>
      </c>
      <c r="C3">
        <v>300000</v>
      </c>
    </row>
    <row r="4" spans="2:4">
      <c r="B4" s="107" t="s">
        <v>56</v>
      </c>
      <c r="C4">
        <v>300000</v>
      </c>
    </row>
    <row r="5" spans="2:4">
      <c r="B5" s="107" t="s">
        <v>41</v>
      </c>
      <c r="C5">
        <v>300000</v>
      </c>
    </row>
    <row r="6" spans="2:4">
      <c r="B6" s="107" t="s">
        <v>48</v>
      </c>
      <c r="C6">
        <v>300000</v>
      </c>
    </row>
    <row r="7" spans="2:4">
      <c r="B7" s="107" t="s">
        <v>50</v>
      </c>
      <c r="C7">
        <v>300000</v>
      </c>
    </row>
    <row r="8" spans="2:4">
      <c r="B8" s="107" t="s">
        <v>55</v>
      </c>
      <c r="C8">
        <v>560000</v>
      </c>
    </row>
    <row r="9" spans="2:4">
      <c r="B9" s="107" t="s">
        <v>37</v>
      </c>
      <c r="C9">
        <v>560000</v>
      </c>
    </row>
    <row r="10" spans="2:4">
      <c r="B10" s="107" t="s">
        <v>38</v>
      </c>
      <c r="C10">
        <v>560000</v>
      </c>
    </row>
    <row r="11" spans="2:4">
      <c r="B11" s="107" t="s">
        <v>39</v>
      </c>
      <c r="C11">
        <v>560000</v>
      </c>
    </row>
    <row r="12" spans="2:4">
      <c r="B12" s="107" t="s">
        <v>40</v>
      </c>
      <c r="C12">
        <v>560000</v>
      </c>
    </row>
    <row r="13" spans="2:4">
      <c r="B13" s="107" t="s">
        <v>49</v>
      </c>
      <c r="C13">
        <v>560000</v>
      </c>
    </row>
    <row r="14" spans="2:4">
      <c r="B14" s="107" t="s">
        <v>42</v>
      </c>
      <c r="C14">
        <v>560000</v>
      </c>
    </row>
    <row r="15" spans="2:4">
      <c r="B15" s="107" t="s">
        <v>44</v>
      </c>
      <c r="C15">
        <v>560000</v>
      </c>
    </row>
    <row r="16" spans="2:4">
      <c r="B16" s="107" t="s">
        <v>45</v>
      </c>
      <c r="C16">
        <v>560000</v>
      </c>
    </row>
    <row r="17" spans="2:3">
      <c r="B17" s="107" t="s">
        <v>43</v>
      </c>
      <c r="C17">
        <v>560000</v>
      </c>
    </row>
    <row r="18" spans="2:3">
      <c r="B18" s="107" t="s">
        <v>46</v>
      </c>
      <c r="C18">
        <v>560000</v>
      </c>
    </row>
    <row r="19" spans="2:3">
      <c r="B19" s="107" t="s">
        <v>47</v>
      </c>
      <c r="C19">
        <v>560000</v>
      </c>
    </row>
    <row r="20" spans="2:3">
      <c r="B20" s="107" t="s">
        <v>51</v>
      </c>
      <c r="C20">
        <v>560000</v>
      </c>
    </row>
    <row r="21" spans="2:3">
      <c r="B21" s="107" t="s">
        <v>52</v>
      </c>
      <c r="C21">
        <v>560000</v>
      </c>
    </row>
    <row r="22" spans="2:3">
      <c r="B22" s="107" t="s">
        <v>53</v>
      </c>
      <c r="C22">
        <v>560000</v>
      </c>
    </row>
    <row r="23" spans="2:3">
      <c r="B23" s="107" t="s">
        <v>54</v>
      </c>
      <c r="C23">
        <v>560000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請求書反映">
                <anchor moveWithCells="1" sizeWithCells="1">
                  <from>
                    <xdr:col>5</xdr:col>
                    <xdr:colOff>312420</xdr:colOff>
                    <xdr:row>2</xdr:row>
                    <xdr:rowOff>15240</xdr:rowOff>
                  </from>
                  <to>
                    <xdr:col>7</xdr:col>
                    <xdr:colOff>243840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数量リセット">
                <anchor moveWithCells="1" sizeWithCells="1">
                  <from>
                    <xdr:col>5</xdr:col>
                    <xdr:colOff>335280</xdr:colOff>
                    <xdr:row>7</xdr:row>
                    <xdr:rowOff>15240</xdr:rowOff>
                  </from>
                  <to>
                    <xdr:col>7</xdr:col>
                    <xdr:colOff>281940</xdr:colOff>
                    <xdr:row>10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96C14-6C87-4AB5-BFC6-D7D62DEFF00E}">
  <sheetPr codeName="Sheet1"/>
  <dimension ref="A2:AD1003"/>
  <sheetViews>
    <sheetView showGridLines="0" zoomScaleNormal="100" zoomScaleSheetLayoutView="100" workbookViewId="0">
      <selection activeCell="D16" sqref="D16:F16"/>
    </sheetView>
  </sheetViews>
  <sheetFormatPr defaultColWidth="12.59765625" defaultRowHeight="15" customHeight="1"/>
  <cols>
    <col min="1" max="1" width="2.8984375" style="5" customWidth="1"/>
    <col min="2" max="2" width="9.8984375" style="5" customWidth="1"/>
    <col min="3" max="3" width="9.765625E-2" style="5" customWidth="1"/>
    <col min="4" max="4" width="1.8984375" style="5" customWidth="1"/>
    <col min="5" max="5" width="1.5" style="5" customWidth="1"/>
    <col min="6" max="6" width="29.296875" style="5" customWidth="1"/>
    <col min="7" max="7" width="11.8984375" style="5" hidden="1" customWidth="1"/>
    <col min="8" max="8" width="12.8984375" style="5" customWidth="1"/>
    <col min="9" max="9" width="2.5" style="5" customWidth="1"/>
    <col min="10" max="10" width="11.8984375" style="5" customWidth="1"/>
    <col min="11" max="11" width="12.8984375" style="5" customWidth="1"/>
    <col min="12" max="12" width="1.8984375" style="5" customWidth="1"/>
    <col min="13" max="13" width="2.8984375" style="5" customWidth="1"/>
    <col min="14" max="19" width="7.8984375" style="5" customWidth="1"/>
    <col min="20" max="30" width="7.59765625" style="5" customWidth="1"/>
    <col min="31" max="16384" width="12.59765625" style="5"/>
  </cols>
  <sheetData>
    <row r="2" spans="1:30" ht="30" customHeight="1">
      <c r="A2" s="1"/>
      <c r="B2" s="2" t="s">
        <v>0</v>
      </c>
      <c r="C2" s="2"/>
      <c r="D2" s="2"/>
      <c r="E2" s="2"/>
      <c r="F2" s="3"/>
      <c r="G2" s="3"/>
      <c r="H2" s="3"/>
      <c r="I2" s="3"/>
      <c r="J2" s="3"/>
      <c r="K2" s="3"/>
      <c r="L2" s="4"/>
      <c r="M2" s="4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ht="15" customHeight="1">
      <c r="A3" s="1"/>
      <c r="B3" s="6"/>
      <c r="C3" s="6"/>
      <c r="D3" s="6"/>
      <c r="E3" s="6"/>
      <c r="F3" s="4"/>
      <c r="G3" s="4"/>
      <c r="H3" s="4"/>
      <c r="I3" s="4"/>
      <c r="J3" s="4"/>
      <c r="K3" s="4"/>
      <c r="L3" s="4"/>
      <c r="M3" s="4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21.9" customHeight="1">
      <c r="A4" s="7"/>
      <c r="B4" s="8" t="s">
        <v>32</v>
      </c>
      <c r="C4" s="8"/>
      <c r="D4" s="8"/>
      <c r="E4" s="8"/>
      <c r="F4" s="9"/>
      <c r="G4" s="10"/>
      <c r="H4" s="10"/>
      <c r="I4" s="10"/>
      <c r="J4" s="11" t="s">
        <v>1</v>
      </c>
      <c r="K4" s="12"/>
      <c r="L4" s="13"/>
      <c r="M4" s="14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ht="21.9" customHeight="1">
      <c r="A5" s="1"/>
      <c r="B5" s="15" t="s">
        <v>33</v>
      </c>
      <c r="C5" s="15"/>
      <c r="D5" s="15"/>
      <c r="E5" s="15"/>
      <c r="F5" s="14"/>
      <c r="G5" s="10"/>
      <c r="H5" s="10"/>
      <c r="I5" s="10"/>
      <c r="J5" s="11" t="s">
        <v>2</v>
      </c>
      <c r="K5" s="16"/>
      <c r="L5" s="17"/>
      <c r="M5" s="14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ht="21.9" customHeight="1">
      <c r="A6" s="1"/>
      <c r="B6" s="18" t="s">
        <v>27</v>
      </c>
      <c r="C6" s="18"/>
      <c r="D6" s="18"/>
      <c r="E6" s="18"/>
      <c r="F6" s="10"/>
      <c r="G6" s="10"/>
      <c r="H6" s="10"/>
      <c r="I6" s="10"/>
      <c r="J6" s="11" t="s">
        <v>3</v>
      </c>
      <c r="K6" s="12" t="s">
        <v>31</v>
      </c>
      <c r="L6" s="13"/>
      <c r="M6" s="19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ht="15" customHeight="1">
      <c r="A7" s="1"/>
      <c r="B7" s="20" t="s">
        <v>4</v>
      </c>
      <c r="C7" s="20"/>
      <c r="D7" s="21"/>
      <c r="E7" s="21"/>
      <c r="G7" s="10"/>
      <c r="H7" s="10"/>
      <c r="I7" s="10"/>
      <c r="J7" s="22"/>
      <c r="K7" s="23"/>
      <c r="L7" s="24"/>
      <c r="M7" s="25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ht="30" customHeight="1" thickBot="1">
      <c r="A8" s="1"/>
      <c r="B8" s="26" t="s">
        <v>5</v>
      </c>
      <c r="C8" s="26"/>
      <c r="D8" s="27"/>
      <c r="E8" s="27"/>
      <c r="F8" s="28">
        <f>K27</f>
        <v>898110</v>
      </c>
      <c r="G8" s="10"/>
      <c r="H8" s="10"/>
      <c r="I8" s="10"/>
      <c r="J8" s="22"/>
      <c r="K8" s="23"/>
      <c r="L8" s="24"/>
      <c r="M8" s="29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ht="18" customHeight="1">
      <c r="A9" s="1"/>
      <c r="B9" s="30"/>
      <c r="C9" s="30" t="s">
        <v>6</v>
      </c>
      <c r="D9" s="30" t="s">
        <v>6</v>
      </c>
      <c r="E9" s="30"/>
      <c r="F9" s="30"/>
      <c r="G9" s="10"/>
      <c r="H9" s="10"/>
      <c r="I9" s="10"/>
      <c r="M9" s="25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ht="15" customHeight="1">
      <c r="A10" s="1"/>
      <c r="B10" s="24"/>
      <c r="C10" s="24"/>
      <c r="D10" s="24"/>
      <c r="E10" s="24"/>
      <c r="F10" s="24"/>
      <c r="G10" s="10"/>
      <c r="H10" s="10"/>
      <c r="I10" s="10"/>
      <c r="M10" s="24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ht="24.9" customHeight="1" thickBot="1">
      <c r="A11" s="1"/>
      <c r="B11" s="113" t="s">
        <v>58</v>
      </c>
      <c r="C11" s="26"/>
      <c r="D11" s="31" t="s">
        <v>7</v>
      </c>
      <c r="E11" s="31"/>
      <c r="F11" s="31"/>
      <c r="G11" s="32" t="s">
        <v>8</v>
      </c>
      <c r="H11" s="33" t="s">
        <v>9</v>
      </c>
      <c r="I11" s="33"/>
      <c r="J11" s="33" t="s">
        <v>10</v>
      </c>
      <c r="K11" s="34" t="s">
        <v>11</v>
      </c>
      <c r="L11" s="35"/>
      <c r="M11" s="24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customFormat="1" ht="26.1" customHeight="1" thickBot="1">
      <c r="A12" s="36"/>
      <c r="B12" s="114">
        <v>1</v>
      </c>
      <c r="C12" s="37"/>
      <c r="D12" s="110" t="s">
        <v>36</v>
      </c>
      <c r="E12" s="41"/>
      <c r="F12" s="111"/>
      <c r="G12" s="108"/>
      <c r="H12" s="109">
        <v>300000</v>
      </c>
      <c r="I12" s="110">
        <v>1</v>
      </c>
      <c r="J12" s="111"/>
      <c r="K12" s="112">
        <v>300000</v>
      </c>
      <c r="L12" s="38"/>
      <c r="M12" s="39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</row>
    <row r="13" spans="1:30" customFormat="1" ht="26.1" customHeight="1" thickBot="1">
      <c r="A13" s="36"/>
      <c r="B13" s="114">
        <v>2</v>
      </c>
      <c r="C13" s="40"/>
      <c r="D13" s="110" t="s">
        <v>57</v>
      </c>
      <c r="E13" s="41"/>
      <c r="F13" s="111"/>
      <c r="G13" s="108"/>
      <c r="H13" s="109">
        <v>300000</v>
      </c>
      <c r="I13" s="110">
        <v>1</v>
      </c>
      <c r="J13" s="111"/>
      <c r="K13" s="112">
        <v>300000</v>
      </c>
      <c r="L13" s="38"/>
      <c r="M13" s="10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</row>
    <row r="14" spans="1:30" customFormat="1" ht="26.1" customHeight="1" thickBot="1">
      <c r="A14" s="36"/>
      <c r="B14" s="114">
        <v>3</v>
      </c>
      <c r="C14" s="40"/>
      <c r="D14" s="110" t="s">
        <v>41</v>
      </c>
      <c r="E14" s="41"/>
      <c r="F14" s="111"/>
      <c r="G14" s="108"/>
      <c r="H14" s="109">
        <v>300000</v>
      </c>
      <c r="I14" s="110">
        <v>1</v>
      </c>
      <c r="J14" s="111"/>
      <c r="K14" s="112">
        <v>300000</v>
      </c>
      <c r="L14" s="38"/>
      <c r="M14" s="10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</row>
    <row r="15" spans="1:30" customFormat="1" ht="26.1" customHeight="1" thickBot="1">
      <c r="A15" s="36"/>
      <c r="B15" s="114"/>
      <c r="C15" s="40"/>
      <c r="D15" s="110"/>
      <c r="E15" s="41"/>
      <c r="F15" s="111"/>
      <c r="G15" s="108"/>
      <c r="H15" s="109"/>
      <c r="I15" s="110"/>
      <c r="J15" s="111"/>
      <c r="K15" s="112"/>
      <c r="L15" s="38"/>
      <c r="M15" s="10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</row>
    <row r="16" spans="1:30" customFormat="1" ht="26.1" customHeight="1" thickBot="1">
      <c r="A16" s="36"/>
      <c r="B16" s="114"/>
      <c r="C16" s="40"/>
      <c r="D16" s="110"/>
      <c r="E16" s="41"/>
      <c r="F16" s="111"/>
      <c r="G16" s="108"/>
      <c r="H16" s="109"/>
      <c r="I16" s="110"/>
      <c r="J16" s="111"/>
      <c r="K16" s="112"/>
      <c r="L16" s="38"/>
      <c r="M16" s="10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</row>
    <row r="17" spans="1:30" customFormat="1" ht="26.1" customHeight="1" thickBot="1">
      <c r="A17" s="36"/>
      <c r="B17" s="114"/>
      <c r="C17" s="40"/>
      <c r="D17" s="110"/>
      <c r="E17" s="41"/>
      <c r="F17" s="111"/>
      <c r="G17" s="108"/>
      <c r="H17" s="109"/>
      <c r="I17" s="110"/>
      <c r="J17" s="111"/>
      <c r="K17" s="112"/>
      <c r="L17" s="38"/>
      <c r="M17" s="10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</row>
    <row r="18" spans="1:30" customFormat="1" ht="26.1" customHeight="1" thickBot="1">
      <c r="A18" s="36"/>
      <c r="B18" s="114"/>
      <c r="C18" s="40"/>
      <c r="D18" s="110"/>
      <c r="E18" s="41"/>
      <c r="F18" s="111"/>
      <c r="G18" s="108"/>
      <c r="H18" s="109"/>
      <c r="I18" s="110"/>
      <c r="J18" s="111"/>
      <c r="K18" s="112"/>
      <c r="L18" s="38"/>
      <c r="M18" s="10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</row>
    <row r="19" spans="1:30" customFormat="1" ht="26.1" customHeight="1" thickBot="1">
      <c r="A19" s="36"/>
      <c r="B19" s="114"/>
      <c r="C19" s="40"/>
      <c r="D19" s="110"/>
      <c r="E19" s="41"/>
      <c r="F19" s="111"/>
      <c r="G19" s="108"/>
      <c r="H19" s="109"/>
      <c r="I19" s="110"/>
      <c r="J19" s="111"/>
      <c r="K19" s="112"/>
      <c r="L19" s="38"/>
      <c r="M19" s="10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</row>
    <row r="20" spans="1:30" customFormat="1" ht="26.1" customHeight="1" thickBot="1">
      <c r="A20" s="36"/>
      <c r="B20" s="114"/>
      <c r="C20" s="40"/>
      <c r="D20" s="110"/>
      <c r="E20" s="41"/>
      <c r="F20" s="111"/>
      <c r="G20" s="108"/>
      <c r="H20" s="109"/>
      <c r="I20" s="110"/>
      <c r="J20" s="111"/>
      <c r="K20" s="112"/>
      <c r="L20" s="38"/>
      <c r="M20" s="10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</row>
    <row r="21" spans="1:30" customFormat="1" ht="26.1" customHeight="1" thickBot="1">
      <c r="A21" s="36"/>
      <c r="B21" s="114"/>
      <c r="C21" s="40"/>
      <c r="D21" s="110"/>
      <c r="E21" s="41"/>
      <c r="F21" s="111"/>
      <c r="G21" s="108"/>
      <c r="H21" s="109"/>
      <c r="I21" s="110"/>
      <c r="J21" s="111"/>
      <c r="K21" s="112"/>
      <c r="L21" s="38"/>
      <c r="M21" s="10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</row>
    <row r="22" spans="1:30" customFormat="1" ht="9.9" customHeight="1">
      <c r="A22" s="36"/>
      <c r="B22" s="42"/>
      <c r="C22" s="42"/>
      <c r="D22" s="43"/>
      <c r="E22" s="43"/>
      <c r="F22" s="43"/>
      <c r="G22" s="44"/>
      <c r="H22" s="45"/>
      <c r="I22" s="46"/>
      <c r="J22" s="47"/>
      <c r="K22" s="48"/>
      <c r="L22" s="48"/>
      <c r="M22" s="39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</row>
    <row r="23" spans="1:30" customFormat="1" ht="19.8" customHeight="1">
      <c r="A23" s="36"/>
      <c r="B23" s="49" t="s">
        <v>12</v>
      </c>
      <c r="C23" s="49"/>
      <c r="D23" s="49"/>
      <c r="E23" s="50"/>
      <c r="F23" s="19" t="s">
        <v>13</v>
      </c>
      <c r="G23" s="51" t="s">
        <v>14</v>
      </c>
      <c r="H23" s="52">
        <f>SUMIF(G12:G21,"",K12:K21)</f>
        <v>900000</v>
      </c>
      <c r="I23" s="53"/>
      <c r="J23" s="54" t="s">
        <v>15</v>
      </c>
      <c r="K23" s="55">
        <f>IF(H23="","",H23*0.1)</f>
        <v>90000</v>
      </c>
      <c r="L23" s="56"/>
      <c r="M23" s="39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</row>
    <row r="24" spans="1:30" ht="19.8" customHeight="1" thickBot="1">
      <c r="A24" s="1"/>
      <c r="B24" s="49"/>
      <c r="C24" s="49"/>
      <c r="D24" s="49"/>
      <c r="E24" s="57"/>
      <c r="F24" s="58" t="s">
        <v>16</v>
      </c>
      <c r="G24" s="59"/>
      <c r="H24" s="60">
        <f>SUMIF(G12:G21,"※",K12:K21)</f>
        <v>0</v>
      </c>
      <c r="I24" s="60"/>
      <c r="J24" s="59"/>
      <c r="K24" s="61">
        <f>IF(H24="","",H24*0.08)</f>
        <v>0</v>
      </c>
      <c r="L24" s="62"/>
      <c r="M24" s="6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ht="20.100000000000001" customHeight="1">
      <c r="A25" s="1"/>
      <c r="B25" s="64"/>
      <c r="C25" s="64"/>
      <c r="D25" s="64"/>
      <c r="E25" s="57"/>
      <c r="F25" s="65" t="s">
        <v>17</v>
      </c>
      <c r="G25" s="66"/>
      <c r="H25" s="67">
        <f>SUM(H23:H24)</f>
        <v>900000</v>
      </c>
      <c r="I25" s="67"/>
      <c r="J25" s="65"/>
      <c r="K25" s="68">
        <f>SUM(K23:K24)</f>
        <v>90000</v>
      </c>
      <c r="L25" s="69"/>
      <c r="M25" s="6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ht="20.100000000000001" customHeight="1" thickBot="1">
      <c r="A26" s="1"/>
      <c r="B26" s="64"/>
      <c r="C26" s="64"/>
      <c r="D26" s="64"/>
      <c r="E26" s="57"/>
      <c r="F26" s="70" t="s">
        <v>18</v>
      </c>
      <c r="G26" s="70"/>
      <c r="H26" s="70"/>
      <c r="I26" s="71"/>
      <c r="J26" s="72"/>
      <c r="K26" s="73">
        <f>ROUNDDOWN(IF(H25&lt;1000000,H25*0.1021,1000000*0.1021+(H25-1000000)*0.2042),0)</f>
        <v>91890</v>
      </c>
      <c r="L26" s="69"/>
      <c r="M26" s="63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customFormat="1" ht="20.100000000000001" customHeight="1">
      <c r="A27" s="36"/>
      <c r="B27" s="74"/>
      <c r="C27" s="74"/>
      <c r="D27" s="74"/>
      <c r="E27" s="50"/>
      <c r="F27" s="75" t="s">
        <v>19</v>
      </c>
      <c r="G27" s="75"/>
      <c r="H27" s="75"/>
      <c r="I27" s="76"/>
      <c r="J27" s="77"/>
      <c r="K27" s="69">
        <f>H25+K25-K26</f>
        <v>898110</v>
      </c>
      <c r="L27" s="69"/>
      <c r="M27" s="39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</row>
    <row r="28" spans="1:30" ht="17.100000000000001" customHeight="1">
      <c r="A28" s="1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ht="20.100000000000001" customHeight="1">
      <c r="A29" s="21"/>
      <c r="B29" s="79" t="s">
        <v>26</v>
      </c>
      <c r="C29" s="80"/>
      <c r="D29" s="81"/>
      <c r="E29" s="81"/>
      <c r="H29" s="82"/>
      <c r="I29" s="83"/>
      <c r="J29" s="84" t="s">
        <v>20</v>
      </c>
      <c r="K29" s="84"/>
      <c r="L29" s="83"/>
      <c r="M29" s="2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ht="20.100000000000001" customHeight="1">
      <c r="A30" s="21"/>
      <c r="B30" s="85" t="s">
        <v>29</v>
      </c>
      <c r="C30" s="85"/>
      <c r="D30" s="86"/>
      <c r="E30" s="86"/>
      <c r="F30" s="81"/>
      <c r="G30" s="81"/>
      <c r="H30" s="87"/>
      <c r="I30" s="83"/>
      <c r="J30" s="88" t="s">
        <v>25</v>
      </c>
      <c r="K30" s="88"/>
      <c r="L30" s="83"/>
      <c r="M30" s="2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ht="18.899999999999999" customHeight="1">
      <c r="A31" s="21"/>
      <c r="B31" s="89" t="s">
        <v>30</v>
      </c>
      <c r="C31" s="86"/>
      <c r="D31" s="86"/>
      <c r="E31" s="86"/>
      <c r="F31" s="89"/>
      <c r="G31" s="89"/>
      <c r="H31" s="87"/>
      <c r="I31" s="90"/>
      <c r="J31" s="91" t="s">
        <v>22</v>
      </c>
      <c r="K31" s="92"/>
      <c r="L31" s="83"/>
      <c r="M31" s="2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ht="18.899999999999999" customHeight="1">
      <c r="A32" s="21"/>
      <c r="B32" s="18" t="s">
        <v>28</v>
      </c>
      <c r="C32" s="86"/>
      <c r="D32" s="86"/>
      <c r="E32" s="86"/>
      <c r="F32" s="89"/>
      <c r="G32" s="89"/>
      <c r="H32" s="87"/>
      <c r="I32" s="90"/>
      <c r="J32" s="91" t="s">
        <v>23</v>
      </c>
      <c r="K32" s="92"/>
      <c r="L32" s="83"/>
      <c r="M32" s="2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ht="17.25" customHeight="1">
      <c r="A33" s="21"/>
      <c r="F33" s="89"/>
      <c r="G33" s="89"/>
      <c r="H33" s="87"/>
      <c r="I33" s="90"/>
      <c r="J33" s="91" t="s">
        <v>24</v>
      </c>
      <c r="K33" s="92"/>
      <c r="L33" s="83"/>
      <c r="M33" s="2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ht="5.0999999999999996" customHeight="1">
      <c r="A34" s="21"/>
      <c r="H34" s="93"/>
      <c r="I34" s="94"/>
      <c r="J34" s="94"/>
      <c r="K34" s="94"/>
      <c r="L34" s="83"/>
      <c r="M34" s="2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ht="17.100000000000001" customHeight="1">
      <c r="A35" s="21"/>
      <c r="B35" s="95" t="s">
        <v>21</v>
      </c>
      <c r="C35" s="95"/>
      <c r="D35" s="21"/>
      <c r="E35" s="21"/>
      <c r="F35" s="21"/>
      <c r="G35" s="21"/>
      <c r="H35" s="21"/>
      <c r="I35" s="21"/>
      <c r="J35" s="96"/>
      <c r="K35" s="96"/>
      <c r="L35" s="96"/>
      <c r="M35" s="2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ht="60" customHeight="1">
      <c r="A36" s="21"/>
      <c r="B36" s="97"/>
      <c r="C36" s="98"/>
      <c r="D36" s="98"/>
      <c r="E36" s="98"/>
      <c r="F36" s="98"/>
      <c r="G36" s="98"/>
      <c r="H36" s="98"/>
      <c r="I36" s="98"/>
      <c r="J36" s="98"/>
      <c r="K36" s="98"/>
      <c r="L36" s="99"/>
      <c r="M36" s="2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ht="12.9" customHeight="1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ht="17.25" customHeight="1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1:30" ht="26.25" customHeight="1">
      <c r="A39" s="1"/>
      <c r="J39" s="100"/>
      <c r="K39" s="101"/>
      <c r="L39" s="101"/>
      <c r="M39" s="10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1:30" ht="15.75" customHeight="1">
      <c r="A40" s="1"/>
      <c r="B40" s="1"/>
      <c r="C40" s="1"/>
      <c r="D40" s="1"/>
      <c r="E40" s="1"/>
      <c r="F40" s="102"/>
      <c r="G40" s="103"/>
      <c r="H40" s="103"/>
      <c r="I40" s="103"/>
      <c r="J40" s="1"/>
      <c r="K40" s="104"/>
      <c r="L40" s="104"/>
      <c r="M40" s="104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1:30" ht="15.75" customHeight="1">
      <c r="A41" s="1"/>
      <c r="B41" s="1"/>
      <c r="C41" s="1"/>
      <c r="D41" s="1"/>
      <c r="E41" s="1"/>
      <c r="F41" s="103"/>
      <c r="G41" s="103"/>
      <c r="H41" s="103"/>
      <c r="I41" s="103"/>
      <c r="J41" s="1"/>
      <c r="K41" s="104"/>
      <c r="L41" s="104"/>
      <c r="M41" s="104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1:30" ht="15.75" customHeight="1">
      <c r="A42" s="1"/>
      <c r="B42" s="1"/>
      <c r="C42" s="1"/>
      <c r="D42" s="1"/>
      <c r="E42" s="1"/>
      <c r="F42" s="105"/>
      <c r="G42" s="105"/>
      <c r="H42" s="105"/>
      <c r="I42" s="105"/>
      <c r="J42" s="103"/>
      <c r="K42" s="104"/>
      <c r="L42" s="104"/>
      <c r="M42" s="104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1:30" ht="17.25" customHeight="1">
      <c r="A43" s="101"/>
      <c r="B43" s="101"/>
      <c r="C43" s="101"/>
      <c r="D43" s="101"/>
      <c r="E43" s="101"/>
      <c r="F43" s="105"/>
      <c r="G43" s="105"/>
      <c r="H43" s="105"/>
      <c r="I43" s="105"/>
      <c r="J43" s="101"/>
      <c r="K43" s="104"/>
      <c r="L43" s="104"/>
      <c r="M43" s="104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</row>
    <row r="44" spans="1:30" ht="17.25" customHeight="1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4"/>
      <c r="L44" s="104"/>
      <c r="M44" s="104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</row>
    <row r="45" spans="1:30" ht="17.2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spans="1:30" ht="17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spans="1:30" ht="17.2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1:30" ht="17.2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1:30" ht="17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1:30" ht="17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</row>
    <row r="51" spans="1:30" ht="17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spans="1:30" ht="17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spans="1:30" ht="17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1:30" ht="17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1:30" ht="17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1:30" ht="17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1:30" ht="17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1:30" ht="17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1:30" ht="17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1:30" ht="17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1:30" ht="17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1:30" ht="17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1:30" ht="17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1:30" ht="17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1:30" ht="17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1:30" ht="17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1:30" ht="17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1:30" ht="17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1:30" ht="17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spans="1:30" ht="17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spans="1:30" ht="17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spans="1:30" ht="17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spans="1:30" ht="17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spans="1:30" ht="17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spans="1:30" ht="17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spans="1:30" ht="17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spans="1:30" ht="17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spans="1:30" ht="17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</row>
    <row r="79" spans="1:30" ht="17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</row>
    <row r="80" spans="1:30" ht="17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</row>
    <row r="81" spans="1:30" ht="17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</row>
    <row r="82" spans="1:30" ht="17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</row>
    <row r="83" spans="1:30" ht="17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</row>
    <row r="84" spans="1:30" ht="17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</row>
    <row r="85" spans="1:30" ht="17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</row>
    <row r="86" spans="1:30" ht="17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</row>
    <row r="87" spans="1:30" ht="17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</row>
    <row r="88" spans="1:30" ht="17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</row>
    <row r="89" spans="1:30" ht="17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</row>
    <row r="90" spans="1:30" ht="17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</row>
    <row r="91" spans="1:30" ht="17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</row>
    <row r="92" spans="1:30" ht="17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</row>
    <row r="93" spans="1:30" ht="17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</row>
    <row r="94" spans="1:30" ht="17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</row>
    <row r="95" spans="1:30" ht="17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</row>
    <row r="96" spans="1:30" ht="17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</row>
    <row r="97" spans="1:30" ht="17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</row>
    <row r="98" spans="1:30" ht="17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</row>
    <row r="99" spans="1:30" ht="17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</row>
    <row r="100" spans="1:30" ht="17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</row>
    <row r="101" spans="1:30" ht="17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</row>
    <row r="102" spans="1:30" ht="17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0" ht="17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</row>
    <row r="104" spans="1:30" ht="17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spans="1:30" ht="17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</row>
    <row r="106" spans="1:30" ht="17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</row>
    <row r="107" spans="1:30" ht="17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</row>
    <row r="108" spans="1:30" ht="17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</row>
    <row r="109" spans="1:30" ht="17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</row>
    <row r="110" spans="1:30" ht="17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</row>
    <row r="111" spans="1:30" ht="17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</row>
    <row r="112" spans="1:30" ht="17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</row>
    <row r="113" spans="1:30" ht="17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</row>
    <row r="114" spans="1:30" ht="17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</row>
    <row r="115" spans="1:30" ht="17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</row>
    <row r="116" spans="1:30" ht="17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</row>
    <row r="117" spans="1:30" ht="17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</row>
    <row r="118" spans="1:30" ht="17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</row>
    <row r="119" spans="1:30" ht="17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</row>
    <row r="120" spans="1:30" ht="17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</row>
    <row r="121" spans="1:30" ht="17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</row>
    <row r="122" spans="1:30" ht="17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</row>
    <row r="123" spans="1:30" ht="17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</row>
    <row r="124" spans="1:30" ht="17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</row>
    <row r="125" spans="1:30" ht="17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</row>
    <row r="126" spans="1:30" ht="17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</row>
    <row r="127" spans="1:30" ht="17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</row>
    <row r="128" spans="1:30" ht="17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</row>
    <row r="129" spans="1:30" ht="17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</row>
    <row r="130" spans="1:30" ht="17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</row>
    <row r="131" spans="1:30" ht="17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</row>
    <row r="132" spans="1:30" ht="17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</row>
    <row r="133" spans="1:30" ht="17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</row>
    <row r="134" spans="1:30" ht="17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</row>
    <row r="135" spans="1:30" ht="17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spans="1:30" ht="17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</row>
    <row r="137" spans="1:30" ht="17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</row>
    <row r="138" spans="1:30" ht="17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</row>
    <row r="139" spans="1:30" ht="17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</row>
    <row r="140" spans="1:30" ht="17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</row>
    <row r="141" spans="1:30" ht="17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</row>
    <row r="142" spans="1:30" ht="17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</row>
    <row r="143" spans="1:30" ht="17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</row>
    <row r="144" spans="1:30" ht="17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</row>
    <row r="145" spans="1:30" ht="17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</row>
    <row r="146" spans="1:30" ht="17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</row>
    <row r="147" spans="1:30" ht="17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</row>
    <row r="148" spans="1:30" ht="17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</row>
    <row r="149" spans="1:30" ht="17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</row>
    <row r="150" spans="1:30" ht="17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spans="1:30" ht="17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</row>
    <row r="152" spans="1:30" ht="17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</row>
    <row r="153" spans="1:30" ht="17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</row>
    <row r="154" spans="1:30" ht="17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</row>
    <row r="155" spans="1:30" ht="17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</row>
    <row r="156" spans="1:30" ht="17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</row>
    <row r="157" spans="1:30" ht="17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</row>
    <row r="158" spans="1:30" ht="17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</row>
    <row r="159" spans="1:30" ht="17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</row>
    <row r="160" spans="1:30" ht="17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spans="1:30" ht="17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</row>
    <row r="162" spans="1:30" ht="17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</row>
    <row r="163" spans="1:30" ht="17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</row>
    <row r="164" spans="1:30" ht="17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</row>
    <row r="165" spans="1:30" ht="17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</row>
    <row r="166" spans="1:30" ht="17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</row>
    <row r="167" spans="1:30" ht="17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</row>
    <row r="168" spans="1:30" ht="17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</row>
    <row r="169" spans="1:30" ht="17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</row>
    <row r="170" spans="1:30" ht="17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</row>
    <row r="171" spans="1:30" ht="17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</row>
    <row r="172" spans="1:30" ht="17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</row>
    <row r="173" spans="1:30" ht="17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</row>
    <row r="174" spans="1:30" ht="17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</row>
    <row r="175" spans="1:30" ht="17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</row>
    <row r="176" spans="1:30" ht="17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</row>
    <row r="177" spans="1:30" ht="17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</row>
    <row r="178" spans="1:30" ht="17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</row>
    <row r="179" spans="1:30" ht="17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</row>
    <row r="180" spans="1:30" ht="17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</row>
    <row r="181" spans="1:30" ht="17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</row>
    <row r="182" spans="1:30" ht="17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</row>
    <row r="183" spans="1:30" ht="17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</row>
    <row r="184" spans="1:30" ht="17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</row>
    <row r="185" spans="1:30" ht="17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</row>
    <row r="186" spans="1:30" ht="17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</row>
    <row r="187" spans="1:30" ht="17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</row>
    <row r="188" spans="1:30" ht="17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</row>
    <row r="189" spans="1:30" ht="17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</row>
    <row r="190" spans="1:30" ht="17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</row>
    <row r="191" spans="1:30" ht="17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</row>
    <row r="192" spans="1:30" ht="17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</row>
    <row r="193" spans="1:30" ht="17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</row>
    <row r="194" spans="1:30" ht="17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</row>
    <row r="195" spans="1:30" ht="17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</row>
    <row r="196" spans="1:30" ht="17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</row>
    <row r="197" spans="1:30" ht="17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</row>
    <row r="198" spans="1:30" ht="17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</row>
    <row r="199" spans="1:30" ht="17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</row>
    <row r="200" spans="1:30" ht="17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</row>
    <row r="201" spans="1:30" ht="17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</row>
    <row r="202" spans="1:30" ht="17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</row>
    <row r="203" spans="1:30" ht="17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</row>
    <row r="204" spans="1:30" ht="17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</row>
    <row r="205" spans="1:30" ht="17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</row>
    <row r="206" spans="1:30" ht="17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</row>
    <row r="207" spans="1:30" ht="17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</row>
    <row r="208" spans="1:30" ht="17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</row>
    <row r="209" spans="1:30" ht="17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</row>
    <row r="210" spans="1:30" ht="17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</row>
    <row r="211" spans="1:30" ht="17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</row>
    <row r="212" spans="1:30" ht="17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</row>
    <row r="213" spans="1:30" ht="17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</row>
    <row r="214" spans="1:30" ht="17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1:30" ht="17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1:30" ht="17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1:30" ht="17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1:30" ht="17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1:30" ht="17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</row>
    <row r="220" spans="1:30" ht="17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</row>
    <row r="221" spans="1:30" ht="17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</row>
    <row r="222" spans="1:30" ht="17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</row>
    <row r="223" spans="1:30" ht="17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</row>
    <row r="224" spans="1:30" ht="17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</row>
    <row r="225" spans="1:30" ht="17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</row>
    <row r="226" spans="1:30" ht="17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spans="1:30" ht="17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</row>
    <row r="228" spans="1:30" ht="17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</row>
    <row r="229" spans="1:30" ht="17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</row>
    <row r="230" spans="1:30" ht="17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</row>
    <row r="231" spans="1:30" ht="17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</row>
    <row r="232" spans="1:30" ht="17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</row>
    <row r="233" spans="1:30" ht="17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</row>
    <row r="234" spans="1:30" ht="17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</row>
    <row r="235" spans="1:30" ht="17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</row>
    <row r="236" spans="1:30" ht="17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</row>
    <row r="237" spans="1:30" ht="17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</row>
    <row r="238" spans="1:30" ht="17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</row>
    <row r="239" spans="1:30" ht="17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</row>
    <row r="240" spans="1:30" ht="17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</row>
    <row r="241" spans="1:30" ht="17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</row>
    <row r="242" spans="1:30" ht="17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</row>
    <row r="243" spans="1:30" ht="17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</row>
    <row r="244" spans="1:30" ht="17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</row>
    <row r="245" spans="1:30" ht="17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</row>
    <row r="246" spans="1:30" ht="17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</row>
    <row r="247" spans="1:30" ht="17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</row>
    <row r="248" spans="1:30" ht="17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</row>
    <row r="249" spans="1:30" ht="17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</row>
    <row r="250" spans="1:30" ht="17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</row>
    <row r="251" spans="1:30" ht="17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</row>
    <row r="252" spans="1:30" ht="17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</row>
    <row r="253" spans="1:30" ht="17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</row>
    <row r="254" spans="1:30" ht="17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</row>
    <row r="255" spans="1:30" ht="17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</row>
    <row r="256" spans="1:30" ht="17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</row>
    <row r="257" spans="1:30" ht="17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</row>
    <row r="258" spans="1:30" ht="17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</row>
    <row r="259" spans="1:30" ht="17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</row>
    <row r="260" spans="1:30" ht="17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</row>
    <row r="261" spans="1:30" ht="17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</row>
    <row r="262" spans="1:30" ht="17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</row>
    <row r="263" spans="1:30" ht="17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</row>
    <row r="264" spans="1:30" ht="17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</row>
    <row r="265" spans="1:30" ht="17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</row>
    <row r="266" spans="1:30" ht="17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</row>
    <row r="267" spans="1:30" ht="17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</row>
    <row r="268" spans="1:30" ht="17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</row>
    <row r="269" spans="1:30" ht="17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</row>
    <row r="270" spans="1:30" ht="17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</row>
    <row r="271" spans="1:30" ht="17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</row>
    <row r="272" spans="1:30" ht="17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</row>
    <row r="273" spans="1:30" ht="17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</row>
    <row r="274" spans="1:30" ht="17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</row>
    <row r="275" spans="1:30" ht="17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</row>
    <row r="276" spans="1:30" ht="17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</row>
    <row r="277" spans="1:30" ht="17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</row>
    <row r="278" spans="1:30" ht="17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</row>
    <row r="279" spans="1:30" ht="17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</row>
    <row r="280" spans="1:30" ht="17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</row>
    <row r="281" spans="1:30" ht="17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</row>
    <row r="282" spans="1:30" ht="17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</row>
    <row r="283" spans="1:30" ht="17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</row>
    <row r="284" spans="1:30" ht="17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</row>
    <row r="285" spans="1:30" ht="17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</row>
    <row r="286" spans="1:30" ht="17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</row>
    <row r="287" spans="1:30" ht="17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</row>
    <row r="288" spans="1:30" ht="17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</row>
    <row r="289" spans="1:30" ht="17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</row>
    <row r="290" spans="1:30" ht="17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</row>
    <row r="291" spans="1:30" ht="17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</row>
    <row r="292" spans="1:30" ht="17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</row>
    <row r="293" spans="1:30" ht="17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</row>
    <row r="294" spans="1:30" ht="17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</row>
    <row r="295" spans="1:30" ht="17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</row>
    <row r="296" spans="1:30" ht="17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</row>
    <row r="297" spans="1:30" ht="17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</row>
    <row r="298" spans="1:30" ht="17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</row>
    <row r="299" spans="1:30" ht="17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</row>
    <row r="300" spans="1:30" ht="17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</row>
    <row r="301" spans="1:30" ht="17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</row>
    <row r="302" spans="1:30" ht="17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</row>
    <row r="303" spans="1:30" ht="17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</row>
    <row r="304" spans="1:30" ht="17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</row>
    <row r="305" spans="1:30" ht="17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</row>
    <row r="306" spans="1:30" ht="17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</row>
    <row r="307" spans="1:30" ht="17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</row>
    <row r="308" spans="1:30" ht="17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</row>
    <row r="309" spans="1:30" ht="17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</row>
    <row r="310" spans="1:30" ht="17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</row>
    <row r="311" spans="1:30" ht="17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</row>
    <row r="312" spans="1:30" ht="17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</row>
    <row r="313" spans="1:30" ht="17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</row>
    <row r="314" spans="1:30" ht="17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</row>
    <row r="315" spans="1:30" ht="17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</row>
    <row r="316" spans="1:30" ht="17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</row>
    <row r="317" spans="1:30" ht="17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</row>
    <row r="318" spans="1:30" ht="17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</row>
    <row r="319" spans="1:30" ht="17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</row>
    <row r="320" spans="1:30" ht="17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</row>
    <row r="321" spans="1:30" ht="17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</row>
    <row r="322" spans="1:30" ht="17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</row>
    <row r="323" spans="1:30" ht="17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</row>
    <row r="324" spans="1:30" ht="17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</row>
    <row r="325" spans="1:30" ht="17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</row>
    <row r="326" spans="1:30" ht="17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</row>
    <row r="327" spans="1:30" ht="17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</row>
    <row r="328" spans="1:30" ht="17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</row>
    <row r="329" spans="1:30" ht="17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</row>
    <row r="330" spans="1:30" ht="17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</row>
    <row r="331" spans="1:30" ht="17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</row>
    <row r="332" spans="1:30" ht="17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</row>
    <row r="333" spans="1:30" ht="17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</row>
    <row r="334" spans="1:30" ht="17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</row>
    <row r="335" spans="1:30" ht="17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</row>
    <row r="336" spans="1:30" ht="17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</row>
    <row r="337" spans="1:30" ht="17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</row>
    <row r="338" spans="1:30" ht="17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</row>
    <row r="339" spans="1:30" ht="17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</row>
    <row r="340" spans="1:30" ht="17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</row>
    <row r="341" spans="1:30" ht="17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</row>
    <row r="342" spans="1:30" ht="17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</row>
    <row r="343" spans="1:30" ht="17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</row>
    <row r="344" spans="1:30" ht="17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</row>
    <row r="345" spans="1:30" ht="17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</row>
    <row r="346" spans="1:30" ht="17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</row>
    <row r="347" spans="1:30" ht="17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</row>
    <row r="348" spans="1:30" ht="17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</row>
    <row r="349" spans="1:30" ht="17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</row>
    <row r="350" spans="1:30" ht="17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</row>
    <row r="351" spans="1:30" ht="17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</row>
    <row r="352" spans="1:30" ht="17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</row>
    <row r="353" spans="1:30" ht="17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</row>
    <row r="354" spans="1:30" ht="17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</row>
    <row r="355" spans="1:30" ht="17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</row>
    <row r="356" spans="1:30" ht="17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</row>
    <row r="357" spans="1:30" ht="17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</row>
    <row r="358" spans="1:30" ht="17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</row>
    <row r="359" spans="1:30" ht="17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</row>
    <row r="360" spans="1:30" ht="17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</row>
    <row r="361" spans="1:30" ht="17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</row>
    <row r="362" spans="1:30" ht="17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</row>
    <row r="363" spans="1:30" ht="17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</row>
    <row r="364" spans="1:30" ht="17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</row>
    <row r="365" spans="1:30" ht="17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</row>
    <row r="366" spans="1:30" ht="17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</row>
    <row r="367" spans="1:30" ht="17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</row>
    <row r="368" spans="1:30" ht="17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</row>
    <row r="369" spans="1:30" ht="17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</row>
    <row r="370" spans="1:30" ht="17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</row>
    <row r="371" spans="1:30" ht="17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</row>
    <row r="372" spans="1:30" ht="17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</row>
    <row r="373" spans="1:30" ht="17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</row>
    <row r="374" spans="1:30" ht="17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</row>
    <row r="375" spans="1:30" ht="17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</row>
    <row r="376" spans="1:30" ht="17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</row>
    <row r="377" spans="1:30" ht="17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</row>
    <row r="378" spans="1:30" ht="17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</row>
    <row r="379" spans="1:30" ht="17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</row>
    <row r="380" spans="1:30" ht="17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</row>
    <row r="381" spans="1:30" ht="17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</row>
    <row r="382" spans="1:30" ht="17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</row>
    <row r="383" spans="1:30" ht="17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</row>
    <row r="384" spans="1:30" ht="17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</row>
    <row r="385" spans="1:30" ht="17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</row>
    <row r="386" spans="1:30" ht="17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</row>
    <row r="387" spans="1:30" ht="17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</row>
    <row r="388" spans="1:30" ht="17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</row>
    <row r="389" spans="1:30" ht="17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</row>
    <row r="390" spans="1:30" ht="17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</row>
    <row r="391" spans="1:30" ht="17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</row>
    <row r="392" spans="1:30" ht="17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</row>
    <row r="393" spans="1:30" ht="17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</row>
    <row r="394" spans="1:30" ht="17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</row>
    <row r="395" spans="1:30" ht="17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</row>
    <row r="396" spans="1:30" ht="17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</row>
    <row r="397" spans="1:30" ht="17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</row>
    <row r="398" spans="1:30" ht="17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</row>
    <row r="399" spans="1:30" ht="17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</row>
    <row r="400" spans="1:30" ht="17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</row>
    <row r="401" spans="1:30" ht="17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</row>
    <row r="402" spans="1:30" ht="17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</row>
    <row r="403" spans="1:30" ht="17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</row>
    <row r="404" spans="1:30" ht="17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</row>
    <row r="405" spans="1:30" ht="17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</row>
    <row r="406" spans="1:30" ht="17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</row>
    <row r="407" spans="1:30" ht="17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</row>
    <row r="408" spans="1:30" ht="17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</row>
    <row r="409" spans="1:30" ht="17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</row>
    <row r="410" spans="1:30" ht="17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</row>
    <row r="411" spans="1:30" ht="17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</row>
    <row r="412" spans="1:30" ht="17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</row>
    <row r="413" spans="1:30" ht="17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</row>
    <row r="414" spans="1:30" ht="17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</row>
    <row r="415" spans="1:30" ht="17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</row>
    <row r="416" spans="1:30" ht="17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</row>
    <row r="417" spans="1:30" ht="17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</row>
    <row r="418" spans="1:30" ht="17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</row>
    <row r="419" spans="1:30" ht="17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</row>
    <row r="420" spans="1:30" ht="17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</row>
    <row r="421" spans="1:30" ht="17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</row>
    <row r="422" spans="1:30" ht="17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</row>
    <row r="423" spans="1:30" ht="17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</row>
    <row r="424" spans="1:30" ht="17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</row>
    <row r="425" spans="1:30" ht="17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</row>
    <row r="426" spans="1:30" ht="17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</row>
    <row r="427" spans="1:30" ht="17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</row>
    <row r="428" spans="1:30" ht="17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</row>
    <row r="429" spans="1:30" ht="17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</row>
    <row r="430" spans="1:30" ht="17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</row>
    <row r="431" spans="1:30" ht="17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</row>
    <row r="432" spans="1:30" ht="17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</row>
    <row r="433" spans="1:30" ht="17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</row>
    <row r="434" spans="1:30" ht="17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</row>
    <row r="435" spans="1:30" ht="17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</row>
    <row r="436" spans="1:30" ht="17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</row>
    <row r="437" spans="1:30" ht="17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</row>
    <row r="438" spans="1:30" ht="17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</row>
    <row r="439" spans="1:30" ht="17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</row>
    <row r="440" spans="1:30" ht="17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</row>
    <row r="441" spans="1:30" ht="17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</row>
    <row r="442" spans="1:30" ht="17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</row>
    <row r="443" spans="1:30" ht="17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</row>
    <row r="444" spans="1:30" ht="17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</row>
    <row r="445" spans="1:30" ht="17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</row>
    <row r="446" spans="1:30" ht="17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</row>
    <row r="447" spans="1:30" ht="17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</row>
    <row r="448" spans="1:30" ht="17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</row>
    <row r="449" spans="1:30" ht="17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</row>
    <row r="450" spans="1:30" ht="17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</row>
    <row r="451" spans="1:30" ht="17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</row>
    <row r="452" spans="1:30" ht="17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</row>
    <row r="453" spans="1:30" ht="17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</row>
    <row r="454" spans="1:30" ht="17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</row>
    <row r="455" spans="1:30" ht="17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</row>
    <row r="456" spans="1:30" ht="17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</row>
    <row r="457" spans="1:30" ht="17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</row>
    <row r="458" spans="1:30" ht="17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</row>
    <row r="459" spans="1:30" ht="17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</row>
    <row r="460" spans="1:30" ht="17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</row>
    <row r="461" spans="1:30" ht="17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</row>
    <row r="462" spans="1:30" ht="17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</row>
    <row r="463" spans="1:30" ht="17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</row>
    <row r="464" spans="1:30" ht="17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</row>
    <row r="465" spans="1:30" ht="17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</row>
    <row r="466" spans="1:30" ht="17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</row>
    <row r="467" spans="1:30" ht="17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</row>
    <row r="468" spans="1:30" ht="17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</row>
    <row r="469" spans="1:30" ht="17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</row>
    <row r="470" spans="1:30" ht="17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</row>
    <row r="471" spans="1:30" ht="17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</row>
    <row r="472" spans="1:30" ht="17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</row>
    <row r="473" spans="1:30" ht="17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</row>
    <row r="474" spans="1:30" ht="17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</row>
    <row r="475" spans="1:30" ht="17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</row>
    <row r="476" spans="1:30" ht="17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</row>
    <row r="477" spans="1:30" ht="17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</row>
    <row r="478" spans="1:30" ht="17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</row>
    <row r="479" spans="1:30" ht="17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</row>
    <row r="480" spans="1:30" ht="17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</row>
    <row r="481" spans="1:30" ht="17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</row>
    <row r="482" spans="1:30" ht="17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</row>
    <row r="483" spans="1:30" ht="17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</row>
    <row r="484" spans="1:30" ht="17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</row>
    <row r="485" spans="1:30" ht="17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</row>
    <row r="486" spans="1:30" ht="17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</row>
    <row r="487" spans="1:30" ht="17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</row>
    <row r="488" spans="1:30" ht="17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</row>
    <row r="489" spans="1:30" ht="17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</row>
    <row r="490" spans="1:30" ht="17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</row>
    <row r="491" spans="1:30" ht="17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</row>
    <row r="492" spans="1:30" ht="17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</row>
    <row r="493" spans="1:30" ht="17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</row>
    <row r="494" spans="1:30" ht="17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</row>
    <row r="495" spans="1:30" ht="17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</row>
    <row r="496" spans="1:30" ht="17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</row>
    <row r="497" spans="1:30" ht="17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</row>
    <row r="498" spans="1:30" ht="17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</row>
    <row r="499" spans="1:30" ht="17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</row>
    <row r="500" spans="1:30" ht="17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</row>
    <row r="501" spans="1:30" ht="17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</row>
    <row r="502" spans="1:30" ht="17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</row>
    <row r="503" spans="1:30" ht="17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</row>
    <row r="504" spans="1:30" ht="17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</row>
    <row r="505" spans="1:30" ht="17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</row>
    <row r="506" spans="1:30" ht="17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</row>
    <row r="507" spans="1:30" ht="17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</row>
    <row r="508" spans="1:30" ht="17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</row>
    <row r="509" spans="1:30" ht="17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</row>
    <row r="510" spans="1:30" ht="17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</row>
    <row r="511" spans="1:30" ht="17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</row>
    <row r="512" spans="1:30" ht="17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</row>
    <row r="513" spans="1:30" ht="17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</row>
    <row r="514" spans="1:30" ht="17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</row>
    <row r="515" spans="1:30" ht="17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</row>
    <row r="516" spans="1:30" ht="17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</row>
    <row r="517" spans="1:30" ht="17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</row>
    <row r="518" spans="1:30" ht="17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</row>
    <row r="519" spans="1:30" ht="17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</row>
    <row r="520" spans="1:30" ht="17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</row>
    <row r="521" spans="1:30" ht="17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</row>
    <row r="522" spans="1:30" ht="17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</row>
    <row r="523" spans="1:30" ht="17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</row>
    <row r="524" spans="1:30" ht="17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</row>
    <row r="525" spans="1:30" ht="17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</row>
    <row r="526" spans="1:30" ht="17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</row>
    <row r="527" spans="1:30" ht="17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</row>
    <row r="528" spans="1:30" ht="17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</row>
    <row r="529" spans="1:30" ht="17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</row>
    <row r="530" spans="1:30" ht="17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</row>
    <row r="531" spans="1:30" ht="17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</row>
    <row r="532" spans="1:30" ht="17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</row>
    <row r="533" spans="1:30" ht="17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</row>
    <row r="534" spans="1:30" ht="17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</row>
    <row r="535" spans="1:30" ht="17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</row>
    <row r="536" spans="1:30" ht="17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</row>
    <row r="537" spans="1:30" ht="17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</row>
    <row r="538" spans="1:30" ht="17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</row>
    <row r="539" spans="1:30" ht="17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</row>
    <row r="540" spans="1:30" ht="17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</row>
    <row r="541" spans="1:30" ht="17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</row>
    <row r="542" spans="1:30" ht="17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</row>
    <row r="543" spans="1:30" ht="17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</row>
    <row r="544" spans="1:30" ht="17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</row>
    <row r="545" spans="1:30" ht="17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</row>
    <row r="546" spans="1:30" ht="17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</row>
    <row r="547" spans="1:30" ht="17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</row>
    <row r="548" spans="1:30" ht="17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</row>
    <row r="549" spans="1:30" ht="17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</row>
    <row r="550" spans="1:30" ht="17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</row>
    <row r="551" spans="1:30" ht="17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</row>
    <row r="552" spans="1:30" ht="17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</row>
    <row r="553" spans="1:30" ht="17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</row>
    <row r="554" spans="1:30" ht="17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</row>
    <row r="555" spans="1:30" ht="17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</row>
    <row r="556" spans="1:30" ht="17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</row>
    <row r="557" spans="1:30" ht="17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</row>
    <row r="558" spans="1:30" ht="17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</row>
    <row r="559" spans="1:30" ht="17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</row>
    <row r="560" spans="1:30" ht="17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</row>
    <row r="561" spans="1:30" ht="17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</row>
    <row r="562" spans="1:30" ht="17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</row>
    <row r="563" spans="1:30" ht="17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</row>
    <row r="564" spans="1:30" ht="17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</row>
    <row r="565" spans="1:30" ht="17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</row>
    <row r="566" spans="1:30" ht="17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</row>
    <row r="567" spans="1:30" ht="17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</row>
    <row r="568" spans="1:30" ht="17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</row>
    <row r="569" spans="1:30" ht="17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</row>
    <row r="570" spans="1:30" ht="17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</row>
    <row r="571" spans="1:30" ht="17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</row>
    <row r="572" spans="1:30" ht="17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</row>
    <row r="573" spans="1:30" ht="17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</row>
    <row r="574" spans="1:30" ht="17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</row>
    <row r="575" spans="1:30" ht="17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</row>
    <row r="576" spans="1:30" ht="17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</row>
    <row r="577" spans="1:30" ht="17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</row>
    <row r="578" spans="1:30" ht="17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</row>
    <row r="579" spans="1:30" ht="17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</row>
    <row r="580" spans="1:30" ht="17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</row>
    <row r="581" spans="1:30" ht="17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</row>
    <row r="582" spans="1:30" ht="17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</row>
    <row r="583" spans="1:30" ht="17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</row>
    <row r="584" spans="1:30" ht="17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</row>
    <row r="585" spans="1:30" ht="17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</row>
    <row r="586" spans="1:30" ht="17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</row>
    <row r="587" spans="1:30" ht="17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</row>
    <row r="588" spans="1:30" ht="17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</row>
    <row r="589" spans="1:30" ht="17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</row>
    <row r="590" spans="1:30" ht="17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</row>
    <row r="591" spans="1:30" ht="17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</row>
    <row r="592" spans="1:30" ht="17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</row>
    <row r="593" spans="1:30" ht="17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</row>
    <row r="594" spans="1:30" ht="17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</row>
    <row r="595" spans="1:30" ht="17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</row>
    <row r="596" spans="1:30" ht="17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</row>
    <row r="597" spans="1:30" ht="17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</row>
    <row r="598" spans="1:30" ht="17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</row>
    <row r="599" spans="1:30" ht="17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</row>
    <row r="600" spans="1:30" ht="17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</row>
    <row r="601" spans="1:30" ht="17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</row>
    <row r="602" spans="1:30" ht="17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</row>
    <row r="603" spans="1:30" ht="17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</row>
    <row r="604" spans="1:30" ht="17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</row>
    <row r="605" spans="1:30" ht="17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</row>
    <row r="606" spans="1:30" ht="17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</row>
    <row r="607" spans="1:30" ht="17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</row>
    <row r="608" spans="1:30" ht="17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</row>
    <row r="609" spans="1:30" ht="17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</row>
    <row r="610" spans="1:30" ht="17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</row>
    <row r="611" spans="1:30" ht="17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</row>
    <row r="612" spans="1:30" ht="17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</row>
    <row r="613" spans="1:30" ht="17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</row>
    <row r="614" spans="1:30" ht="17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</row>
    <row r="615" spans="1:30" ht="17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</row>
    <row r="616" spans="1:30" ht="17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</row>
    <row r="617" spans="1:30" ht="17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</row>
    <row r="618" spans="1:30" ht="17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</row>
    <row r="619" spans="1:30" ht="17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</row>
    <row r="620" spans="1:30" ht="17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</row>
    <row r="621" spans="1:30" ht="17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</row>
    <row r="622" spans="1:30" ht="17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</row>
    <row r="623" spans="1:30" ht="17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</row>
    <row r="624" spans="1:30" ht="17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</row>
    <row r="625" spans="1:30" ht="17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</row>
    <row r="626" spans="1:30" ht="17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</row>
    <row r="627" spans="1:30" ht="17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</row>
    <row r="628" spans="1:30" ht="17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</row>
    <row r="629" spans="1:30" ht="17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</row>
    <row r="630" spans="1:30" ht="17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</row>
    <row r="631" spans="1:30" ht="17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</row>
    <row r="632" spans="1:30" ht="17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</row>
    <row r="633" spans="1:30" ht="17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</row>
    <row r="634" spans="1:30" ht="17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</row>
    <row r="635" spans="1:30" ht="17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</row>
    <row r="636" spans="1:30" ht="17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</row>
    <row r="637" spans="1:30" ht="17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</row>
    <row r="638" spans="1:30" ht="17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</row>
    <row r="639" spans="1:30" ht="17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</row>
    <row r="640" spans="1:30" ht="17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</row>
    <row r="641" spans="1:30" ht="17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</row>
    <row r="642" spans="1:30" ht="17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</row>
    <row r="643" spans="1:30" ht="17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</row>
    <row r="644" spans="1:30" ht="17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</row>
    <row r="645" spans="1:30" ht="17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</row>
    <row r="646" spans="1:30" ht="17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</row>
    <row r="647" spans="1:30" ht="17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</row>
    <row r="648" spans="1:30" ht="17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</row>
    <row r="649" spans="1:30" ht="17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</row>
    <row r="650" spans="1:30" ht="17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</row>
    <row r="651" spans="1:30" ht="17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</row>
    <row r="652" spans="1:30" ht="17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</row>
    <row r="653" spans="1:30" ht="17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</row>
    <row r="654" spans="1:30" ht="17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</row>
    <row r="655" spans="1:30" ht="17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</row>
    <row r="656" spans="1:30" ht="17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</row>
    <row r="657" spans="1:30" ht="17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</row>
    <row r="658" spans="1:30" ht="17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</row>
    <row r="659" spans="1:30" ht="17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</row>
    <row r="660" spans="1:30" ht="17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</row>
    <row r="661" spans="1:30" ht="17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</row>
    <row r="662" spans="1:30" ht="17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</row>
    <row r="663" spans="1:30" ht="17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</row>
    <row r="664" spans="1:30" ht="17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</row>
    <row r="665" spans="1:30" ht="17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</row>
    <row r="666" spans="1:30" ht="17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</row>
    <row r="667" spans="1:30" ht="17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</row>
    <row r="668" spans="1:30" ht="17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</row>
    <row r="669" spans="1:30" ht="17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</row>
    <row r="670" spans="1:30" ht="17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</row>
    <row r="671" spans="1:30" ht="17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</row>
    <row r="672" spans="1:30" ht="17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</row>
    <row r="673" spans="1:30" ht="17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</row>
    <row r="674" spans="1:30" ht="17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</row>
    <row r="675" spans="1:30" ht="17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</row>
    <row r="676" spans="1:30" ht="17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</row>
    <row r="677" spans="1:30" ht="17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</row>
    <row r="678" spans="1:30" ht="17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</row>
    <row r="679" spans="1:30" ht="17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</row>
    <row r="680" spans="1:30" ht="17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</row>
    <row r="681" spans="1:30" ht="17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</row>
    <row r="682" spans="1:30" ht="17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</row>
    <row r="683" spans="1:30" ht="17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</row>
    <row r="684" spans="1:30" ht="17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</row>
    <row r="685" spans="1:30" ht="17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</row>
    <row r="686" spans="1:30" ht="17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</row>
    <row r="687" spans="1:30" ht="17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</row>
    <row r="688" spans="1:30" ht="17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</row>
    <row r="689" spans="1:30" ht="17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</row>
    <row r="690" spans="1:30" ht="17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</row>
    <row r="691" spans="1:30" ht="17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</row>
    <row r="692" spans="1:30" ht="17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</row>
    <row r="693" spans="1:30" ht="17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</row>
    <row r="694" spans="1:30" ht="17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</row>
    <row r="695" spans="1:30" ht="17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</row>
    <row r="696" spans="1:30" ht="17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</row>
    <row r="697" spans="1:30" ht="17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</row>
    <row r="698" spans="1:30" ht="17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</row>
    <row r="699" spans="1:30" ht="17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</row>
    <row r="700" spans="1:30" ht="17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</row>
    <row r="701" spans="1:30" ht="17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</row>
    <row r="702" spans="1:30" ht="17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</row>
    <row r="703" spans="1:30" ht="17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</row>
    <row r="704" spans="1:30" ht="17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</row>
    <row r="705" spans="1:30" ht="17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</row>
    <row r="706" spans="1:30" ht="17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</row>
    <row r="707" spans="1:30" ht="17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</row>
    <row r="708" spans="1:30" ht="17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</row>
    <row r="709" spans="1:30" ht="17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</row>
    <row r="710" spans="1:30" ht="17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</row>
    <row r="711" spans="1:30" ht="17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</row>
    <row r="712" spans="1:30" ht="17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</row>
    <row r="713" spans="1:30" ht="17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</row>
    <row r="714" spans="1:30" ht="17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</row>
    <row r="715" spans="1:30" ht="17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</row>
    <row r="716" spans="1:30" ht="17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</row>
    <row r="717" spans="1:30" ht="17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</row>
    <row r="718" spans="1:30" ht="17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</row>
    <row r="719" spans="1:30" ht="17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</row>
    <row r="720" spans="1:30" ht="17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</row>
    <row r="721" spans="1:30" ht="17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</row>
    <row r="722" spans="1:30" ht="17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</row>
    <row r="723" spans="1:30" ht="17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</row>
    <row r="724" spans="1:30" ht="17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</row>
    <row r="725" spans="1:30" ht="17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</row>
    <row r="726" spans="1:30" ht="17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</row>
    <row r="727" spans="1:30" ht="17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</row>
    <row r="728" spans="1:30" ht="17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</row>
    <row r="729" spans="1:30" ht="17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</row>
    <row r="730" spans="1:30" ht="17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</row>
    <row r="731" spans="1:30" ht="17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</row>
    <row r="732" spans="1:30" ht="17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</row>
    <row r="733" spans="1:30" ht="17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</row>
    <row r="734" spans="1:30" ht="17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</row>
    <row r="735" spans="1:30" ht="17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</row>
    <row r="736" spans="1:30" ht="17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</row>
    <row r="737" spans="1:30" ht="17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</row>
    <row r="738" spans="1:30" ht="17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</row>
    <row r="739" spans="1:30" ht="17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</row>
    <row r="740" spans="1:30" ht="17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</row>
    <row r="741" spans="1:30" ht="17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</row>
    <row r="742" spans="1:30" ht="17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</row>
    <row r="743" spans="1:30" ht="17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</row>
    <row r="744" spans="1:30" ht="17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</row>
    <row r="745" spans="1:30" ht="17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</row>
    <row r="746" spans="1:30" ht="17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</row>
    <row r="747" spans="1:30" ht="17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</row>
    <row r="748" spans="1:30" ht="17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</row>
    <row r="749" spans="1:30" ht="17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</row>
    <row r="750" spans="1:30" ht="17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</row>
    <row r="751" spans="1:30" ht="17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</row>
    <row r="752" spans="1:30" ht="17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</row>
    <row r="753" spans="1:30" ht="17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</row>
    <row r="754" spans="1:30" ht="17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</row>
    <row r="755" spans="1:30" ht="17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</row>
    <row r="756" spans="1:30" ht="17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</row>
    <row r="757" spans="1:30" ht="17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</row>
    <row r="758" spans="1:30" ht="17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</row>
    <row r="759" spans="1:30" ht="17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</row>
    <row r="760" spans="1:30" ht="17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</row>
    <row r="761" spans="1:30" ht="17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</row>
    <row r="762" spans="1:30" ht="17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</row>
    <row r="763" spans="1:30" ht="17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</row>
    <row r="764" spans="1:30" ht="17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</row>
    <row r="765" spans="1:30" ht="17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</row>
    <row r="766" spans="1:30" ht="17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</row>
    <row r="767" spans="1:30" ht="17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</row>
    <row r="768" spans="1:30" ht="17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</row>
    <row r="769" spans="1:30" ht="17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</row>
    <row r="770" spans="1:30" ht="17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</row>
    <row r="771" spans="1:30" ht="17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</row>
    <row r="772" spans="1:30" ht="17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</row>
    <row r="773" spans="1:30" ht="17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</row>
    <row r="774" spans="1:30" ht="17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</row>
    <row r="775" spans="1:30" ht="17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</row>
    <row r="776" spans="1:30" ht="17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</row>
    <row r="777" spans="1:30" ht="17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</row>
    <row r="778" spans="1:30" ht="17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</row>
    <row r="779" spans="1:30" ht="17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</row>
    <row r="780" spans="1:30" ht="17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</row>
    <row r="781" spans="1:30" ht="17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</row>
    <row r="782" spans="1:30" ht="17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</row>
    <row r="783" spans="1:30" ht="17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</row>
    <row r="784" spans="1:30" ht="17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</row>
    <row r="785" spans="1:30" ht="17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</row>
    <row r="786" spans="1:30" ht="17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</row>
    <row r="787" spans="1:30" ht="17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</row>
    <row r="788" spans="1:30" ht="17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</row>
    <row r="789" spans="1:30" ht="17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</row>
    <row r="790" spans="1:30" ht="17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</row>
    <row r="791" spans="1:30" ht="17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</row>
    <row r="792" spans="1:30" ht="17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</row>
    <row r="793" spans="1:30" ht="17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</row>
    <row r="794" spans="1:30" ht="17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</row>
    <row r="795" spans="1:30" ht="17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</row>
    <row r="796" spans="1:30" ht="17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</row>
    <row r="797" spans="1:30" ht="17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</row>
    <row r="798" spans="1:30" ht="17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</row>
    <row r="799" spans="1:30" ht="17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</row>
    <row r="800" spans="1:30" ht="17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</row>
    <row r="801" spans="1:30" ht="17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</row>
    <row r="802" spans="1:30" ht="17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</row>
    <row r="803" spans="1:30" ht="17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</row>
    <row r="804" spans="1:30" ht="17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</row>
    <row r="805" spans="1:30" ht="17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</row>
    <row r="806" spans="1:30" ht="17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</row>
    <row r="807" spans="1:30" ht="17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</row>
    <row r="808" spans="1:30" ht="17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</row>
    <row r="809" spans="1:30" ht="17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</row>
    <row r="810" spans="1:30" ht="17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</row>
    <row r="811" spans="1:30" ht="17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</row>
    <row r="812" spans="1:30" ht="17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</row>
    <row r="813" spans="1:30" ht="17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</row>
    <row r="814" spans="1:30" ht="17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</row>
    <row r="815" spans="1:30" ht="17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</row>
    <row r="816" spans="1:30" ht="17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</row>
    <row r="817" spans="1:30" ht="17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</row>
    <row r="818" spans="1:30" ht="17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</row>
    <row r="819" spans="1:30" ht="17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</row>
    <row r="820" spans="1:30" ht="17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</row>
    <row r="821" spans="1:30" ht="17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</row>
    <row r="822" spans="1:30" ht="17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</row>
    <row r="823" spans="1:30" ht="17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</row>
    <row r="824" spans="1:30" ht="17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</row>
    <row r="825" spans="1:30" ht="17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</row>
    <row r="826" spans="1:30" ht="17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</row>
    <row r="827" spans="1:30" ht="17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</row>
    <row r="828" spans="1:30" ht="17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</row>
    <row r="829" spans="1:30" ht="17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</row>
    <row r="830" spans="1:30" ht="17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</row>
    <row r="831" spans="1:30" ht="17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</row>
    <row r="832" spans="1:30" ht="17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</row>
    <row r="833" spans="1:30" ht="17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</row>
    <row r="834" spans="1:30" ht="17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</row>
    <row r="835" spans="1:30" ht="17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</row>
    <row r="836" spans="1:30" ht="17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</row>
    <row r="837" spans="1:30" ht="17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</row>
    <row r="838" spans="1:30" ht="17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</row>
    <row r="839" spans="1:30" ht="17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</row>
    <row r="840" spans="1:30" ht="17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</row>
    <row r="841" spans="1:30" ht="17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</row>
    <row r="842" spans="1:30" ht="17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</row>
    <row r="843" spans="1:30" ht="17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</row>
    <row r="844" spans="1:30" ht="17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</row>
    <row r="845" spans="1:30" ht="17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</row>
    <row r="846" spans="1:30" ht="17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</row>
    <row r="847" spans="1:30" ht="17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</row>
    <row r="848" spans="1:30" ht="17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</row>
    <row r="849" spans="1:30" ht="17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</row>
    <row r="850" spans="1:30" ht="17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</row>
    <row r="851" spans="1:30" ht="17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</row>
    <row r="852" spans="1:30" ht="17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</row>
    <row r="853" spans="1:30" ht="17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</row>
    <row r="854" spans="1:30" ht="17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</row>
    <row r="855" spans="1:30" ht="17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</row>
    <row r="856" spans="1:30" ht="17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</row>
    <row r="857" spans="1:30" ht="17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</row>
    <row r="858" spans="1:30" ht="17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</row>
    <row r="859" spans="1:30" ht="17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</row>
    <row r="860" spans="1:30" ht="17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</row>
    <row r="861" spans="1:30" ht="17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</row>
    <row r="862" spans="1:30" ht="17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</row>
    <row r="863" spans="1:30" ht="17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</row>
    <row r="864" spans="1:30" ht="17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</row>
    <row r="865" spans="1:30" ht="17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</row>
    <row r="866" spans="1:30" ht="17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</row>
    <row r="867" spans="1:30" ht="17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</row>
    <row r="868" spans="1:30" ht="17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</row>
    <row r="869" spans="1:30" ht="17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</row>
    <row r="870" spans="1:30" ht="17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</row>
    <row r="871" spans="1:30" ht="17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</row>
    <row r="872" spans="1:30" ht="17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</row>
    <row r="873" spans="1:30" ht="17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</row>
    <row r="874" spans="1:30" ht="17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</row>
    <row r="875" spans="1:30" ht="17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</row>
    <row r="876" spans="1:30" ht="17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</row>
    <row r="877" spans="1:30" ht="17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</row>
    <row r="878" spans="1:30" ht="17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</row>
    <row r="879" spans="1:30" ht="17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</row>
    <row r="880" spans="1:30" ht="17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</row>
    <row r="881" spans="1:30" ht="17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</row>
    <row r="882" spans="1:30" ht="17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</row>
    <row r="883" spans="1:30" ht="17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</row>
    <row r="884" spans="1:30" ht="17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</row>
    <row r="885" spans="1:30" ht="17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</row>
    <row r="886" spans="1:30" ht="17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</row>
    <row r="887" spans="1:30" ht="17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</row>
    <row r="888" spans="1:30" ht="17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</row>
    <row r="889" spans="1:30" ht="17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</row>
    <row r="890" spans="1:30" ht="17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</row>
    <row r="891" spans="1:30" ht="17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</row>
    <row r="892" spans="1:30" ht="17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</row>
    <row r="893" spans="1:30" ht="17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</row>
    <row r="894" spans="1:30" ht="17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</row>
    <row r="895" spans="1:30" ht="17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</row>
    <row r="896" spans="1:30" ht="17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</row>
    <row r="897" spans="1:30" ht="17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</row>
    <row r="898" spans="1:30" ht="17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</row>
    <row r="899" spans="1:30" ht="17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</row>
    <row r="900" spans="1:30" ht="17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</row>
    <row r="901" spans="1:30" ht="17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</row>
    <row r="902" spans="1:30" ht="17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</row>
    <row r="903" spans="1:30" ht="17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</row>
    <row r="904" spans="1:30" ht="17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</row>
    <row r="905" spans="1:30" ht="17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</row>
    <row r="906" spans="1:30" ht="17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</row>
    <row r="907" spans="1:30" ht="17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</row>
    <row r="908" spans="1:30" ht="17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</row>
    <row r="909" spans="1:30" ht="17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</row>
    <row r="910" spans="1:30" ht="17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</row>
    <row r="911" spans="1:30" ht="17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</row>
    <row r="912" spans="1:30" ht="17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</row>
    <row r="913" spans="1:30" ht="17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</row>
    <row r="914" spans="1:30" ht="17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</row>
    <row r="915" spans="1:30" ht="17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</row>
    <row r="916" spans="1:30" ht="17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</row>
    <row r="917" spans="1:30" ht="17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</row>
    <row r="918" spans="1:30" ht="17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</row>
    <row r="919" spans="1:30" ht="17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</row>
    <row r="920" spans="1:30" ht="17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</row>
    <row r="921" spans="1:30" ht="17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</row>
    <row r="922" spans="1:30" ht="17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</row>
    <row r="923" spans="1:30" ht="17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</row>
    <row r="924" spans="1:30" ht="17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</row>
    <row r="925" spans="1:30" ht="17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</row>
    <row r="926" spans="1:30" ht="17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</row>
    <row r="927" spans="1:30" ht="17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</row>
    <row r="928" spans="1:30" ht="17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</row>
    <row r="929" spans="1:30" ht="17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</row>
    <row r="930" spans="1:30" ht="17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</row>
    <row r="931" spans="1:30" ht="17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</row>
    <row r="932" spans="1:30" ht="17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</row>
    <row r="933" spans="1:30" ht="17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</row>
    <row r="934" spans="1:30" ht="17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</row>
    <row r="935" spans="1:30" ht="17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</row>
    <row r="936" spans="1:30" ht="17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</row>
    <row r="937" spans="1:30" ht="17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</row>
    <row r="938" spans="1:30" ht="17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</row>
    <row r="939" spans="1:30" ht="17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</row>
    <row r="940" spans="1:30" ht="17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</row>
    <row r="941" spans="1:30" ht="17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</row>
    <row r="942" spans="1:30" ht="17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</row>
    <row r="943" spans="1:30" ht="17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</row>
    <row r="944" spans="1:30" ht="17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</row>
    <row r="945" spans="1:30" ht="17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</row>
    <row r="946" spans="1:30" ht="17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</row>
    <row r="947" spans="1:30" ht="17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</row>
    <row r="948" spans="1:30" ht="17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</row>
    <row r="949" spans="1:30" ht="17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</row>
    <row r="950" spans="1:30" ht="17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</row>
    <row r="951" spans="1:30" ht="17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</row>
    <row r="952" spans="1:30" ht="17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</row>
    <row r="953" spans="1:30" ht="17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</row>
    <row r="954" spans="1:30" ht="17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</row>
    <row r="955" spans="1:30" ht="17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</row>
    <row r="956" spans="1:30" ht="17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</row>
    <row r="957" spans="1:30" ht="17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</row>
    <row r="958" spans="1:30" ht="17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</row>
    <row r="959" spans="1:30" ht="17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</row>
    <row r="960" spans="1:30" ht="17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</row>
    <row r="961" spans="1:30" ht="17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</row>
    <row r="962" spans="1:30" ht="17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</row>
    <row r="963" spans="1:30" ht="17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</row>
    <row r="964" spans="1:30" ht="17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</row>
    <row r="965" spans="1:30" ht="17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</row>
    <row r="966" spans="1:30" ht="17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</row>
    <row r="967" spans="1:30" ht="17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</row>
    <row r="968" spans="1:30" ht="17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</row>
    <row r="969" spans="1:30" ht="17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</row>
    <row r="970" spans="1:30" ht="17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</row>
    <row r="971" spans="1:30" ht="17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</row>
    <row r="972" spans="1:30" ht="17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</row>
    <row r="973" spans="1:30" ht="17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</row>
    <row r="974" spans="1:30" ht="17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</row>
    <row r="975" spans="1:30" ht="17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</row>
    <row r="976" spans="1:30" ht="17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</row>
    <row r="977" spans="1:30" ht="17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</row>
    <row r="978" spans="1:30" ht="17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</row>
    <row r="979" spans="1:30" ht="17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</row>
    <row r="980" spans="1:30" ht="17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</row>
    <row r="981" spans="1:30" ht="17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</row>
    <row r="982" spans="1:30" ht="17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</row>
    <row r="983" spans="1:30" ht="17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</row>
    <row r="984" spans="1:30" ht="17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</row>
    <row r="985" spans="1:30" ht="17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</row>
    <row r="986" spans="1:30" ht="17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</row>
    <row r="987" spans="1:30" ht="17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</row>
    <row r="988" spans="1:30" ht="17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</row>
    <row r="989" spans="1:30" ht="17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</row>
    <row r="990" spans="1:30" ht="17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</row>
    <row r="991" spans="1:30" ht="17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</row>
    <row r="992" spans="1:30" ht="17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</row>
    <row r="993" spans="1:30" ht="17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</row>
    <row r="994" spans="1:30" ht="17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</row>
    <row r="995" spans="1:30" ht="17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</row>
    <row r="996" spans="1:30" ht="17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</row>
    <row r="997" spans="1:30" ht="17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</row>
    <row r="998" spans="1:30" ht="17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</row>
    <row r="999" spans="1:30" ht="17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</row>
    <row r="1000" spans="1:30" ht="17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</row>
    <row r="1001" spans="1:30" ht="17.2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</row>
    <row r="1002" spans="1:30" ht="17.2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</row>
    <row r="1003" spans="1:30" ht="17.2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</row>
  </sheetData>
  <mergeCells count="30">
    <mergeCell ref="I16:J16"/>
    <mergeCell ref="D15:F15"/>
    <mergeCell ref="I15:J15"/>
    <mergeCell ref="D14:F14"/>
    <mergeCell ref="I14:J14"/>
    <mergeCell ref="I13:J13"/>
    <mergeCell ref="D20:F20"/>
    <mergeCell ref="I20:J20"/>
    <mergeCell ref="D19:F19"/>
    <mergeCell ref="I19:J19"/>
    <mergeCell ref="D18:F18"/>
    <mergeCell ref="I18:J18"/>
    <mergeCell ref="D17:F17"/>
    <mergeCell ref="I17:J17"/>
    <mergeCell ref="D16:F16"/>
    <mergeCell ref="F27:H27"/>
    <mergeCell ref="J29:K29"/>
    <mergeCell ref="J30:K30"/>
    <mergeCell ref="B36:L36"/>
    <mergeCell ref="I21:J21"/>
    <mergeCell ref="D13:F13"/>
    <mergeCell ref="D21:F21"/>
    <mergeCell ref="B23:D24"/>
    <mergeCell ref="F26:H26"/>
    <mergeCell ref="B2:K2"/>
    <mergeCell ref="B4:F4"/>
    <mergeCell ref="K7:K8"/>
    <mergeCell ref="D11:F11"/>
    <mergeCell ref="D12:F12"/>
    <mergeCell ref="I12:J12"/>
  </mergeCells>
  <phoneticPr fontId="3"/>
  <pageMargins left="0.57999999999999996" right="0.57291666666666663" top="0.98" bottom="1" header="0" footer="0"/>
  <pageSetup paperSize="9" scale="9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請求データ</vt:lpstr>
      <vt:lpstr>請求書ひながた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小百合 山﨑</dc:creator>
  <cp:lastModifiedBy>小百合 山﨑</cp:lastModifiedBy>
  <dcterms:created xsi:type="dcterms:W3CDTF">2024-12-16T02:59:19Z</dcterms:created>
  <dcterms:modified xsi:type="dcterms:W3CDTF">2024-12-16T04:48:53Z</dcterms:modified>
</cp:coreProperties>
</file>